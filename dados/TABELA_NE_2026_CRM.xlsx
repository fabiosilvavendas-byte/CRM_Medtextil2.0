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CRM_APP\dados\"/>
    </mc:Choice>
  </mc:AlternateContent>
  <xr:revisionPtr revIDLastSave="0" documentId="13_ncr:1_{967FD71A-911B-429D-B293-7284B69D15B5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TAB 3%" sheetId="3" state="hidden" r:id="rId1"/>
    <sheet name="TAB 4%" sheetId="5" state="hidden" r:id="rId2"/>
    <sheet name="Tabela_3%" sheetId="7" r:id="rId3"/>
    <sheet name="Tabela_4%" sheetId="17" r:id="rId4"/>
    <sheet name="MedMais 3%" sheetId="16" state="hidden" r:id="rId5"/>
    <sheet name="MedMais 4%" sheetId="10" state="hidden" r:id="rId6"/>
    <sheet name="UltraTextil 3%" sheetId="8" state="hidden" r:id="rId7"/>
    <sheet name="UltraTextil 4%" sheetId="11" state="hidden" r:id="rId8"/>
    <sheet name="MedTextil 3%" sheetId="9" state="hidden" r:id="rId9"/>
    <sheet name="MedTextil 4%" sheetId="12" state="hidden" r:id="rId10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2" i="17" l="1"/>
  <c r="H172" i="17" s="1"/>
  <c r="I173" i="17"/>
  <c r="I78" i="17"/>
  <c r="H78" i="17" s="1"/>
  <c r="I81" i="17"/>
  <c r="H81" i="17" s="1"/>
  <c r="I15" i="17"/>
  <c r="I16" i="17"/>
  <c r="I23" i="17"/>
  <c r="I24" i="17"/>
  <c r="I26" i="17"/>
  <c r="H26" i="17" s="1"/>
  <c r="I27" i="17"/>
  <c r="H27" i="17" s="1"/>
  <c r="I28" i="17"/>
  <c r="I29" i="17"/>
  <c r="I32" i="17"/>
  <c r="I33" i="17"/>
  <c r="I34" i="17"/>
  <c r="H34" i="17" s="1"/>
  <c r="I36" i="17"/>
  <c r="I37" i="17"/>
  <c r="I42" i="17"/>
  <c r="H42" i="17" s="1"/>
  <c r="I43" i="17"/>
  <c r="H43" i="17" s="1"/>
  <c r="I44" i="17"/>
  <c r="H44" i="17" s="1"/>
  <c r="I50" i="17"/>
  <c r="I51" i="17"/>
  <c r="I57" i="17"/>
  <c r="H57" i="17" s="1"/>
  <c r="I58" i="17"/>
  <c r="H58" i="17" s="1"/>
  <c r="I59" i="17"/>
  <c r="H59" i="17" s="1"/>
  <c r="I60" i="17"/>
  <c r="H60" i="17" s="1"/>
  <c r="H9" i="7"/>
  <c r="I9" i="17" s="1"/>
  <c r="H9" i="17" s="1"/>
  <c r="H38" i="7"/>
  <c r="I38" i="17" s="1"/>
  <c r="H38" i="17" s="1"/>
  <c r="H44" i="7"/>
  <c r="H161" i="7"/>
  <c r="I161" i="17" s="1"/>
  <c r="H161" i="17" s="1"/>
  <c r="H155" i="7"/>
  <c r="I155" i="17" s="1"/>
  <c r="H155" i="17" s="1"/>
  <c r="H173" i="17"/>
  <c r="H152" i="7"/>
  <c r="I152" i="17" s="1"/>
  <c r="H152" i="17" s="1"/>
  <c r="H151" i="7"/>
  <c r="I151" i="17" s="1"/>
  <c r="H151" i="17" s="1"/>
  <c r="H156" i="7"/>
  <c r="I156" i="17" s="1"/>
  <c r="H156" i="17" s="1"/>
  <c r="H157" i="7"/>
  <c r="I157" i="17" s="1"/>
  <c r="H157" i="17" s="1"/>
  <c r="H158" i="7"/>
  <c r="I158" i="17" s="1"/>
  <c r="H158" i="17" s="1"/>
  <c r="H89" i="7"/>
  <c r="I89" i="17" s="1"/>
  <c r="H89" i="17" s="1"/>
  <c r="H35" i="7"/>
  <c r="I35" i="17" s="1"/>
  <c r="H35" i="17" s="1"/>
  <c r="H34" i="7"/>
  <c r="H184" i="16"/>
  <c r="H183" i="16"/>
  <c r="H182" i="16"/>
  <c r="H181" i="16"/>
  <c r="H180" i="16"/>
  <c r="H179" i="16"/>
  <c r="H178" i="16"/>
  <c r="H177" i="16"/>
  <c r="H176" i="16"/>
  <c r="H175" i="16"/>
  <c r="H172" i="16"/>
  <c r="H171" i="16"/>
  <c r="H170" i="16"/>
  <c r="H169" i="16"/>
  <c r="H168" i="16"/>
  <c r="H167" i="16"/>
  <c r="H166" i="16"/>
  <c r="H165" i="16"/>
  <c r="H164" i="16"/>
  <c r="H163" i="16"/>
  <c r="H160" i="16"/>
  <c r="H159" i="16"/>
  <c r="H158" i="16"/>
  <c r="H155" i="16"/>
  <c r="H154" i="16"/>
  <c r="H153" i="16"/>
  <c r="H150" i="16"/>
  <c r="H149" i="16"/>
  <c r="H148" i="16"/>
  <c r="H145" i="16"/>
  <c r="H144" i="16"/>
  <c r="H143" i="16"/>
  <c r="H90" i="16"/>
  <c r="H89" i="16"/>
  <c r="H86" i="16"/>
  <c r="H85" i="16"/>
  <c r="H84" i="16"/>
  <c r="H81" i="16"/>
  <c r="H80" i="16"/>
  <c r="H79" i="16"/>
  <c r="H76" i="16"/>
  <c r="H75" i="16"/>
  <c r="H74" i="16"/>
  <c r="H57" i="16"/>
  <c r="H56" i="16"/>
  <c r="H55" i="16"/>
  <c r="H54" i="16"/>
  <c r="H53" i="16"/>
  <c r="H52" i="16"/>
  <c r="H51" i="16"/>
  <c r="H50" i="16"/>
  <c r="H49" i="16"/>
  <c r="H48" i="16"/>
  <c r="H45" i="16"/>
  <c r="H44" i="16"/>
  <c r="H43" i="16"/>
  <c r="H42" i="16"/>
  <c r="H41" i="16"/>
  <c r="H40" i="16"/>
  <c r="H39" i="16"/>
  <c r="H38" i="16"/>
  <c r="H37" i="16"/>
  <c r="H36" i="16"/>
  <c r="H33" i="16"/>
  <c r="H32" i="16"/>
  <c r="H31" i="16"/>
  <c r="H30" i="16"/>
  <c r="H27" i="16"/>
  <c r="H26" i="16"/>
  <c r="H25" i="16"/>
  <c r="H22" i="16"/>
  <c r="H21" i="16"/>
  <c r="H20" i="16"/>
  <c r="H19" i="16"/>
  <c r="H18" i="16"/>
  <c r="H17" i="16"/>
  <c r="H14" i="16"/>
  <c r="H13" i="16"/>
  <c r="H12" i="16"/>
  <c r="H11" i="16"/>
  <c r="H10" i="16"/>
  <c r="H9" i="16"/>
  <c r="H178" i="7"/>
  <c r="I178" i="17" s="1"/>
  <c r="H178" i="17" s="1"/>
  <c r="H177" i="7"/>
  <c r="I177" i="17" s="1"/>
  <c r="H177" i="17" s="1"/>
  <c r="H176" i="7"/>
  <c r="I176" i="17" s="1"/>
  <c r="H176" i="17" s="1"/>
  <c r="H175" i="7"/>
  <c r="I175" i="17" s="1"/>
  <c r="H175" i="17" s="1"/>
  <c r="H174" i="7"/>
  <c r="I174" i="17" s="1"/>
  <c r="H174" i="17" s="1"/>
  <c r="H173" i="7"/>
  <c r="H172" i="7"/>
  <c r="H171" i="7"/>
  <c r="I171" i="17" s="1"/>
  <c r="H170" i="7"/>
  <c r="I170" i="17" s="1"/>
  <c r="H170" i="17" s="1"/>
  <c r="H169" i="7"/>
  <c r="I169" i="17" s="1"/>
  <c r="H169" i="17" s="1"/>
  <c r="H166" i="7"/>
  <c r="I166" i="17" s="1"/>
  <c r="H166" i="17" s="1"/>
  <c r="H165" i="7"/>
  <c r="I165" i="17" s="1"/>
  <c r="H165" i="17" s="1"/>
  <c r="H164" i="7"/>
  <c r="I164" i="17" s="1"/>
  <c r="H164" i="17" s="1"/>
  <c r="H163" i="7"/>
  <c r="I163" i="17" s="1"/>
  <c r="H163" i="17" s="1"/>
  <c r="H162" i="7"/>
  <c r="I162" i="17" s="1"/>
  <c r="H162" i="17" s="1"/>
  <c r="H160" i="7"/>
  <c r="I160" i="17" s="1"/>
  <c r="H160" i="17" s="1"/>
  <c r="H159" i="7"/>
  <c r="I159" i="17" s="1"/>
  <c r="H159" i="17" s="1"/>
  <c r="H148" i="7"/>
  <c r="I148" i="17" s="1"/>
  <c r="H148" i="17" s="1"/>
  <c r="H145" i="7"/>
  <c r="I145" i="17" s="1"/>
  <c r="H145" i="17" s="1"/>
  <c r="H144" i="7"/>
  <c r="I144" i="17" s="1"/>
  <c r="H144" i="17" s="1"/>
  <c r="H143" i="7"/>
  <c r="I143" i="17" s="1"/>
  <c r="H143" i="17" s="1"/>
  <c r="H140" i="7"/>
  <c r="I140" i="17" s="1"/>
  <c r="H140" i="17" s="1"/>
  <c r="H139" i="7"/>
  <c r="I139" i="17" s="1"/>
  <c r="H139" i="17" s="1"/>
  <c r="H138" i="7"/>
  <c r="I138" i="17" s="1"/>
  <c r="H138" i="17" s="1"/>
  <c r="H135" i="7"/>
  <c r="I135" i="17" s="1"/>
  <c r="H135" i="17" s="1"/>
  <c r="H134" i="7"/>
  <c r="I134" i="17" s="1"/>
  <c r="H134" i="17" s="1"/>
  <c r="H86" i="7"/>
  <c r="I86" i="17" s="1"/>
  <c r="H86" i="17" s="1"/>
  <c r="H83" i="7"/>
  <c r="I83" i="17" s="1"/>
  <c r="H83" i="17" s="1"/>
  <c r="H82" i="7"/>
  <c r="I82" i="17" s="1"/>
  <c r="H82" i="17" s="1"/>
  <c r="H81" i="7"/>
  <c r="H78" i="7"/>
  <c r="H77" i="7"/>
  <c r="I77" i="17" s="1"/>
  <c r="H77" i="17" s="1"/>
  <c r="H76" i="7"/>
  <c r="I76" i="17" s="1"/>
  <c r="H76" i="17" s="1"/>
  <c r="H73" i="7"/>
  <c r="I73" i="17" s="1"/>
  <c r="H73" i="17" s="1"/>
  <c r="H72" i="7"/>
  <c r="I72" i="17" s="1"/>
  <c r="H72" i="17" s="1"/>
  <c r="H71" i="7"/>
  <c r="I71" i="17" s="1"/>
  <c r="H71" i="17" s="1"/>
  <c r="H50" i="12"/>
  <c r="H49" i="12"/>
  <c r="H48" i="12"/>
  <c r="H47" i="12"/>
  <c r="H46" i="12"/>
  <c r="H45" i="12"/>
  <c r="H44" i="12"/>
  <c r="H43" i="12"/>
  <c r="H42" i="12"/>
  <c r="H41" i="12"/>
  <c r="H38" i="12"/>
  <c r="H37" i="12"/>
  <c r="H36" i="12"/>
  <c r="H35" i="12"/>
  <c r="H34" i="12"/>
  <c r="H33" i="12"/>
  <c r="H32" i="12"/>
  <c r="H31" i="12"/>
  <c r="H30" i="12"/>
  <c r="H29" i="12"/>
  <c r="H26" i="12"/>
  <c r="H25" i="12"/>
  <c r="H24" i="12"/>
  <c r="H21" i="12"/>
  <c r="H20" i="12"/>
  <c r="H19" i="12"/>
  <c r="H16" i="12"/>
  <c r="H15" i="12"/>
  <c r="H14" i="12"/>
  <c r="H11" i="12"/>
  <c r="H10" i="12"/>
  <c r="H9" i="12"/>
  <c r="H25" i="11"/>
  <c r="H24" i="11"/>
  <c r="H21" i="11"/>
  <c r="H20" i="11"/>
  <c r="H19" i="11"/>
  <c r="H16" i="11"/>
  <c r="H15" i="11"/>
  <c r="H14" i="11"/>
  <c r="H11" i="11"/>
  <c r="H10" i="11"/>
  <c r="H9" i="11"/>
  <c r="H57" i="10"/>
  <c r="H56" i="10"/>
  <c r="H55" i="10"/>
  <c r="H54" i="10"/>
  <c r="H53" i="10"/>
  <c r="H52" i="10"/>
  <c r="H51" i="10"/>
  <c r="H50" i="10"/>
  <c r="H49" i="10"/>
  <c r="H48" i="10"/>
  <c r="H45" i="10"/>
  <c r="H44" i="10"/>
  <c r="H43" i="10"/>
  <c r="H42" i="10"/>
  <c r="H41" i="10"/>
  <c r="H40" i="10"/>
  <c r="H39" i="10"/>
  <c r="H38" i="10"/>
  <c r="H37" i="10"/>
  <c r="H36" i="10"/>
  <c r="H33" i="10"/>
  <c r="H32" i="10"/>
  <c r="H31" i="10"/>
  <c r="H30" i="10"/>
  <c r="H27" i="10"/>
  <c r="H26" i="10"/>
  <c r="H25" i="10"/>
  <c r="H22" i="10"/>
  <c r="H21" i="10"/>
  <c r="H20" i="10"/>
  <c r="H19" i="10"/>
  <c r="H18" i="10"/>
  <c r="H17" i="10"/>
  <c r="H14" i="10"/>
  <c r="H13" i="10"/>
  <c r="H12" i="10"/>
  <c r="H11" i="10"/>
  <c r="H10" i="10"/>
  <c r="H9" i="10"/>
  <c r="H42" i="9"/>
  <c r="H43" i="9"/>
  <c r="H44" i="9"/>
  <c r="H45" i="9"/>
  <c r="H46" i="9"/>
  <c r="H47" i="9"/>
  <c r="H48" i="9"/>
  <c r="H49" i="9"/>
  <c r="H50" i="9"/>
  <c r="H41" i="9"/>
  <c r="H30" i="9"/>
  <c r="H31" i="9"/>
  <c r="H32" i="9"/>
  <c r="H33" i="9"/>
  <c r="H34" i="9"/>
  <c r="H35" i="9"/>
  <c r="H36" i="9"/>
  <c r="H37" i="9"/>
  <c r="H38" i="9"/>
  <c r="H29" i="9"/>
  <c r="H25" i="9"/>
  <c r="H26" i="9"/>
  <c r="H24" i="9"/>
  <c r="H20" i="9"/>
  <c r="H21" i="9"/>
  <c r="H19" i="9"/>
  <c r="H15" i="9"/>
  <c r="H16" i="9"/>
  <c r="H14" i="9"/>
  <c r="H10" i="9"/>
  <c r="H11" i="9"/>
  <c r="H9" i="9"/>
  <c r="H25" i="8"/>
  <c r="H24" i="8"/>
  <c r="H21" i="8"/>
  <c r="H20" i="8"/>
  <c r="H19" i="8"/>
  <c r="H16" i="8"/>
  <c r="H15" i="8"/>
  <c r="H14" i="8"/>
  <c r="H11" i="8"/>
  <c r="H10" i="8"/>
  <c r="H9" i="8"/>
  <c r="H53" i="7"/>
  <c r="I53" i="17" s="1"/>
  <c r="H54" i="7"/>
  <c r="I54" i="17" s="1"/>
  <c r="H54" i="17" s="1"/>
  <c r="H55" i="7"/>
  <c r="I55" i="17" s="1"/>
  <c r="H55" i="17" s="1"/>
  <c r="H56" i="7"/>
  <c r="I56" i="17" s="1"/>
  <c r="H57" i="7"/>
  <c r="H58" i="7"/>
  <c r="H59" i="7"/>
  <c r="H60" i="7"/>
  <c r="H61" i="7"/>
  <c r="I61" i="17" s="1"/>
  <c r="H61" i="17" s="1"/>
  <c r="H52" i="7"/>
  <c r="I52" i="17" s="1"/>
  <c r="H52" i="17" s="1"/>
  <c r="H40" i="7"/>
  <c r="I40" i="17" s="1"/>
  <c r="H40" i="17" s="1"/>
  <c r="H41" i="7"/>
  <c r="I41" i="17" s="1"/>
  <c r="H41" i="17" s="1"/>
  <c r="H42" i="7"/>
  <c r="H43" i="7"/>
  <c r="H45" i="7"/>
  <c r="I45" i="17" s="1"/>
  <c r="H45" i="17" s="1"/>
  <c r="H46" i="7"/>
  <c r="I46" i="17" s="1"/>
  <c r="H46" i="17" s="1"/>
  <c r="H47" i="7"/>
  <c r="I47" i="17" s="1"/>
  <c r="H47" i="17" s="1"/>
  <c r="H48" i="7"/>
  <c r="I48" i="17" s="1"/>
  <c r="H48" i="17" s="1"/>
  <c r="H49" i="7"/>
  <c r="I49" i="17" s="1"/>
  <c r="H49" i="17" s="1"/>
  <c r="H39" i="7"/>
  <c r="I39" i="17" s="1"/>
  <c r="H39" i="17" s="1"/>
  <c r="H31" i="7"/>
  <c r="I31" i="17" s="1"/>
  <c r="H31" i="17" s="1"/>
  <c r="H30" i="7"/>
  <c r="I30" i="17" s="1"/>
  <c r="H30" i="17" s="1"/>
  <c r="H26" i="7"/>
  <c r="H27" i="7"/>
  <c r="H25" i="7"/>
  <c r="I25" i="17" s="1"/>
  <c r="H25" i="17" s="1"/>
  <c r="H18" i="7"/>
  <c r="I18" i="17" s="1"/>
  <c r="H18" i="17" s="1"/>
  <c r="H19" i="7"/>
  <c r="I19" i="17" s="1"/>
  <c r="H19" i="17" s="1"/>
  <c r="H20" i="7"/>
  <c r="I20" i="17" s="1"/>
  <c r="H20" i="17" s="1"/>
  <c r="H21" i="7"/>
  <c r="I21" i="17" s="1"/>
  <c r="H21" i="17" s="1"/>
  <c r="H22" i="7"/>
  <c r="I22" i="17" s="1"/>
  <c r="H22" i="17" s="1"/>
  <c r="H17" i="7"/>
  <c r="I17" i="17" s="1"/>
  <c r="H17" i="17" s="1"/>
  <c r="H10" i="7"/>
  <c r="I10" i="17" s="1"/>
  <c r="H10" i="17" s="1"/>
  <c r="H11" i="7"/>
  <c r="I11" i="17" s="1"/>
  <c r="H11" i="17" s="1"/>
  <c r="H12" i="7"/>
  <c r="I12" i="17" s="1"/>
  <c r="H12" i="17" s="1"/>
  <c r="H13" i="7"/>
  <c r="I13" i="17" s="1"/>
  <c r="H13" i="17" s="1"/>
  <c r="H14" i="7"/>
  <c r="I14" i="17" s="1"/>
  <c r="H14" i="17" s="1"/>
  <c r="I9" i="5"/>
  <c r="I10" i="5"/>
  <c r="I11" i="5"/>
  <c r="I12" i="5"/>
  <c r="I13" i="5"/>
  <c r="I14" i="5"/>
  <c r="I15" i="5"/>
  <c r="I16" i="5"/>
  <c r="I17" i="5"/>
  <c r="I18" i="5"/>
  <c r="I19" i="5"/>
  <c r="I9" i="3"/>
  <c r="I10" i="3"/>
  <c r="I11" i="3"/>
  <c r="I12" i="3"/>
  <c r="I13" i="3"/>
  <c r="I14" i="3"/>
  <c r="I15" i="3"/>
  <c r="I16" i="3"/>
  <c r="I17" i="3"/>
  <c r="I18" i="3"/>
  <c r="I19" i="3"/>
  <c r="I8" i="3"/>
  <c r="I8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59" i="5"/>
  <c r="I58" i="5"/>
  <c r="I57" i="5"/>
  <c r="I56" i="5"/>
  <c r="I55" i="5"/>
  <c r="I54" i="5"/>
  <c r="I53" i="5"/>
  <c r="I52" i="5"/>
  <c r="I51" i="5"/>
  <c r="I48" i="5"/>
  <c r="I47" i="5"/>
  <c r="I46" i="5"/>
  <c r="I45" i="5"/>
  <c r="I44" i="5"/>
  <c r="I43" i="5"/>
  <c r="I42" i="5"/>
  <c r="I41" i="5"/>
  <c r="I40" i="5"/>
  <c r="I33" i="5"/>
  <c r="I32" i="5"/>
  <c r="I31" i="5"/>
  <c r="I30" i="5"/>
  <c r="I29" i="5"/>
  <c r="I28" i="5"/>
  <c r="I27" i="5"/>
  <c r="I26" i="5"/>
  <c r="I25" i="5"/>
  <c r="I24" i="5"/>
  <c r="I23" i="5"/>
  <c r="I22" i="5"/>
  <c r="I53" i="3"/>
  <c r="I52" i="3"/>
  <c r="I59" i="3"/>
  <c r="I58" i="3"/>
  <c r="I57" i="3"/>
  <c r="I56" i="3"/>
  <c r="I54" i="3"/>
  <c r="I51" i="3"/>
  <c r="I45" i="3"/>
  <c r="I44" i="3"/>
  <c r="I43" i="3"/>
  <c r="I33" i="3"/>
  <c r="I32" i="3"/>
  <c r="I31" i="3"/>
  <c r="I30" i="3"/>
  <c r="I55" i="3" l="1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48" i="3"/>
  <c r="I47" i="3"/>
  <c r="I46" i="3"/>
  <c r="I42" i="3"/>
  <c r="I41" i="3"/>
  <c r="I40" i="3"/>
  <c r="I29" i="3"/>
  <c r="I28" i="3"/>
  <c r="I27" i="3"/>
  <c r="I26" i="3"/>
  <c r="I25" i="3"/>
  <c r="I24" i="3"/>
  <c r="I23" i="3"/>
  <c r="I22" i="3"/>
  <c r="H133" i="7" l="1"/>
  <c r="I133" i="17" s="1"/>
  <c r="H133" i="17" s="1"/>
</calcChain>
</file>

<file path=xl/sharedStrings.xml><?xml version="1.0" encoding="utf-8"?>
<sst xmlns="http://schemas.openxmlformats.org/spreadsheetml/2006/main" count="3127" uniqueCount="137">
  <si>
    <t>TABELA DE PREÇOS</t>
  </si>
  <si>
    <t>COMPRESSAS DE GAZES – PACOTE</t>
  </si>
  <si>
    <t>CÓD.</t>
  </si>
  <si>
    <t>PRODUTO</t>
  </si>
  <si>
    <t>APRESENTAÇÃO</t>
  </si>
  <si>
    <t>UND CAIXA</t>
  </si>
  <si>
    <t>MARCA</t>
  </si>
  <si>
    <t>PREÇO</t>
  </si>
  <si>
    <t>COMPRESSA DE GAZE NÃO ESTERIL</t>
  </si>
  <si>
    <t>PACOTE 105gr</t>
  </si>
  <si>
    <t>9 fios</t>
  </si>
  <si>
    <t>COMBATE</t>
  </si>
  <si>
    <t>Med Mais</t>
  </si>
  <si>
    <t>105gr</t>
  </si>
  <si>
    <t>PACOTE 130gr</t>
  </si>
  <si>
    <t>11 fios</t>
  </si>
  <si>
    <t>130gr</t>
  </si>
  <si>
    <t>PACOTE 150gr</t>
  </si>
  <si>
    <t>13 fios</t>
  </si>
  <si>
    <t>150gr</t>
  </si>
  <si>
    <t>INTERMEDIARIA</t>
  </si>
  <si>
    <t>PACOTE 160gr</t>
  </si>
  <si>
    <t>160gr</t>
  </si>
  <si>
    <t>PACOTE 180gr</t>
  </si>
  <si>
    <t>180gr</t>
  </si>
  <si>
    <t>EXTRA</t>
  </si>
  <si>
    <t>Ultra Têxtil</t>
  </si>
  <si>
    <t>500 und</t>
  </si>
  <si>
    <t>COMPRESSAS HIDRÓFILA CIRCULAR – TIPO QUEIJO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</si>
  <si>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</si>
  <si>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</si>
  <si>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</si>
  <si>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</si>
  <si>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</si>
  <si>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</si>
  <si>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</si>
  <si>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</si>
  <si>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370gr</t>
  </si>
  <si>
    <t>380gr</t>
  </si>
  <si>
    <t>410gr</t>
  </si>
  <si>
    <t>COMPRESSA ESTÉRIL</t>
  </si>
  <si>
    <t>COMPRESSA ESTÉRIL – 9FIOS</t>
  </si>
  <si>
    <t>PCT 10 UND</t>
  </si>
  <si>
    <t>COMPRESSA ESTÉRIL – 11FIOS</t>
  </si>
  <si>
    <t>COMPRESSA ESTÉRIL – 13FIOS</t>
  </si>
  <si>
    <t>CAMPOS OPERATÓRIOS</t>
  </si>
  <si>
    <t>CAMPO OPERATÓRIO - LEVE</t>
  </si>
  <si>
    <t>45X50 PCT C/50</t>
  </si>
  <si>
    <t>Com Radiopaco</t>
  </si>
  <si>
    <t>15gr</t>
  </si>
  <si>
    <t>CAMPO OPERATÓRIO – Pré encolhido</t>
  </si>
  <si>
    <t>Estéril</t>
  </si>
  <si>
    <t>ATADURAS - LINHA FARMA</t>
  </si>
  <si>
    <t>UND PCT</t>
  </si>
  <si>
    <t>FARDO DE EMBARQUE</t>
  </si>
  <si>
    <t>ATADURA DE CREPE</t>
  </si>
  <si>
    <t>10CM x 1,20M</t>
  </si>
  <si>
    <t>13 FIOS</t>
  </si>
  <si>
    <t>12 INDIVIDUAL</t>
  </si>
  <si>
    <t>12CM x 1,20M</t>
  </si>
  <si>
    <t>15CM x 1,20M</t>
  </si>
  <si>
    <t>90 DUZIAS</t>
  </si>
  <si>
    <t>20CM x 1,20M</t>
  </si>
  <si>
    <t>80 DUZIAS</t>
  </si>
  <si>
    <t>30CM x 1,20M</t>
  </si>
  <si>
    <t>50 DUZIAS</t>
  </si>
  <si>
    <t>10CM x 1,80M</t>
  </si>
  <si>
    <t>100 DUZIAS</t>
  </si>
  <si>
    <t>12CM x 1,80M</t>
  </si>
  <si>
    <t>15CM x 1,80M</t>
  </si>
  <si>
    <t>75 DUZIAS</t>
  </si>
  <si>
    <t>20CM x 1,80M</t>
  </si>
  <si>
    <t>70 DUZIAS</t>
  </si>
  <si>
    <t>30CM x 1,80M</t>
  </si>
  <si>
    <t>40 DUZIAS</t>
  </si>
  <si>
    <t>110 DUZIAS</t>
  </si>
  <si>
    <t>85 DUZIAS</t>
  </si>
  <si>
    <t>45 DUZIAS</t>
  </si>
  <si>
    <t>60 DUZIAS</t>
  </si>
  <si>
    <t>35 DUZIAS</t>
  </si>
  <si>
    <t>ATADURAS - LINHA HOSPITALAR</t>
  </si>
  <si>
    <t>12 CONJUGADA</t>
  </si>
  <si>
    <t>52 DUZIAS</t>
  </si>
  <si>
    <t>42 DUZIAS</t>
  </si>
  <si>
    <t>86 DUZIAS</t>
  </si>
  <si>
    <t>44 DUZIAS</t>
  </si>
  <si>
    <t>28 DUZIAS</t>
  </si>
  <si>
    <t>66 DUZIAS</t>
  </si>
  <si>
    <t>48 DUZIAS</t>
  </si>
  <si>
    <t xml:space="preserve"> 32 DUZIAS</t>
  </si>
  <si>
    <t>76 DUZIAS</t>
  </si>
  <si>
    <t>38 DUZIAS</t>
  </si>
  <si>
    <t>26 DUZIAS</t>
  </si>
  <si>
    <t>Condições de pagamento: 28/35/42</t>
  </si>
  <si>
    <t>Frete: CIF</t>
  </si>
  <si>
    <t>COMPRESSA ESTÉRIL – 9FIOS   7,50 X 7,50</t>
  </si>
  <si>
    <t>COMPRESSA ESTÉRIL – 11FIOS  7,50 X 7,50</t>
  </si>
  <si>
    <t>COMPRESSA ESTÉRIL – 13FIOS  7,50 X 7,50</t>
  </si>
  <si>
    <t>MedTextil</t>
  </si>
  <si>
    <t>LINHA</t>
  </si>
  <si>
    <t>25X28 PCT C/5 UND</t>
  </si>
  <si>
    <t>25X28 PCT C/2 UND</t>
  </si>
  <si>
    <t>Atualizado em 18/08/2025</t>
  </si>
  <si>
    <t>104 DUZIAS</t>
  </si>
  <si>
    <t>GRAMAT</t>
  </si>
  <si>
    <t>Medtextil</t>
  </si>
  <si>
    <t>7,5 X 7,5 - 15x30 (aberta)</t>
  </si>
  <si>
    <t>7,5 X 7,5  - 15x26 (aberta)</t>
  </si>
  <si>
    <t>1.460gr</t>
  </si>
  <si>
    <t>1.530gr</t>
  </si>
  <si>
    <t>1.650gr</t>
  </si>
  <si>
    <t>Tipo Queijo 91cm x 91m</t>
  </si>
  <si>
    <t>Atualizado em 07/01/2026</t>
  </si>
  <si>
    <t>Sem Radiopaco</t>
  </si>
  <si>
    <t>CAMPO OPERATÓRIO - LEVE (Sem Radiopaco)</t>
  </si>
  <si>
    <t>CAMPO OPERATÓRIO - LEVE (Com Radiopaco</t>
  </si>
  <si>
    <t>TABELA DE PREÇOS - LINHA</t>
  </si>
  <si>
    <t>CAMPO OPERATÓRIO - LEVE (Com Radiopaco)</t>
  </si>
  <si>
    <t>25gr</t>
  </si>
  <si>
    <t>20gr</t>
  </si>
  <si>
    <t>PCT C/50</t>
  </si>
  <si>
    <t>CAMPO OPERATÓRIO 45X50 (Com Radiopaco)</t>
  </si>
  <si>
    <t>CAMPO OPERATÓRIO 45X50 (Sem Radiopaco)</t>
  </si>
  <si>
    <t>CAMPO OPERATÓRIO - NÃO ESTÉRIL</t>
  </si>
  <si>
    <t>CAMPO OPERATÓRIO - ESTÉRIL</t>
  </si>
  <si>
    <t>45X50</t>
  </si>
  <si>
    <t>25X28</t>
  </si>
  <si>
    <t>PCT C/5 UND</t>
  </si>
  <si>
    <t>PCT C/2 UND</t>
  </si>
  <si>
    <t>7,5 X 7,5  - 13x24 (aberta)</t>
  </si>
  <si>
    <t>17gr</t>
  </si>
  <si>
    <t>08CM x 1,20M</t>
  </si>
  <si>
    <t>08CM x 1,80M</t>
  </si>
  <si>
    <t>115 DUZIAS</t>
  </si>
  <si>
    <t>105 DUZIAS</t>
  </si>
  <si>
    <t>95 DUZIAS</t>
  </si>
  <si>
    <t>FIOS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</si>
</sst>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F243E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548DD4"/>
      <name val="Calibri"/>
      <family val="2"/>
      <scheme val="minor"/>
    </font>
    <font>
      <b/>
      <sz val="9"/>
      <color rgb="FF17365D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18"/>
      <color theme="1"/>
      <name val="Gotham Black"/>
      <family val="3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5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8" fontId="5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8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8" fontId="2" fillId="0" borderId="18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8" fontId="2" fillId="0" borderId="6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8" fontId="5" fillId="0" borderId="6" xfId="0" applyNumberFormat="1" applyFont="1" applyBorder="1" applyAlignment="1">
      <alignment horizontal="right" vertical="center"/>
    </xf>
    <xf numFmtId="8" fontId="5" fillId="0" borderId="3" xfId="0" applyNumberFormat="1" applyFont="1" applyBorder="1" applyAlignment="1">
      <alignment horizontal="right" vertical="center"/>
    </xf>
    <xf numFmtId="44" fontId="4" fillId="0" borderId="4" xfId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44" fontId="5" fillId="0" borderId="3" xfId="1" applyFont="1" applyBorder="1" applyAlignment="1">
      <alignment horizontal="right" vertical="center"/>
    </xf>
    <xf numFmtId="44" fontId="5" fillId="0" borderId="6" xfId="1" applyFont="1" applyBorder="1" applyAlignment="1">
      <alignment horizontal="right" vertical="center"/>
    </xf>
    <xf numFmtId="44" fontId="0" fillId="0" borderId="0" xfId="1" applyFont="1"/>
    <xf numFmtId="44" fontId="8" fillId="0" borderId="4" xfId="1" applyFont="1" applyBorder="1" applyAlignment="1">
      <alignment horizontal="center" vertical="center" wrapText="1"/>
    </xf>
    <xf numFmtId="44" fontId="2" fillId="0" borderId="15" xfId="1" applyFont="1" applyBorder="1" applyAlignment="1">
      <alignment horizontal="center" vertical="center" wrapText="1"/>
    </xf>
    <xf numFmtId="44" fontId="2" fillId="0" borderId="18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4" fontId="5" fillId="0" borderId="21" xfId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8" fontId="5" fillId="0" borderId="3" xfId="0" applyNumberFormat="1" applyFont="1" applyBorder="1" applyAlignment="1">
      <alignment horizontal="center" vertical="center"/>
    </xf>
    <xf numFmtId="8" fontId="2" fillId="0" borderId="15" xfId="0" applyNumberFormat="1" applyFont="1" applyBorder="1" applyAlignment="1">
      <alignment horizontal="center" vertical="center"/>
    </xf>
    <xf numFmtId="44" fontId="0" fillId="0" borderId="0" xfId="1" applyFont="1" applyAlignment="1"/>
    <xf numFmtId="8" fontId="2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44" fontId="4" fillId="0" borderId="22" xfId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44" fontId="5" fillId="0" borderId="22" xfId="1" applyFont="1" applyBorder="1" applyAlignment="1">
      <alignment horizontal="center" vertical="center"/>
    </xf>
    <xf numFmtId="8" fontId="2" fillId="0" borderId="3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2" xfId="0" applyBorder="1"/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44" fontId="5" fillId="0" borderId="24" xfId="1" applyFont="1" applyBorder="1" applyAlignment="1">
      <alignment horizontal="center" vertical="center"/>
    </xf>
    <xf numFmtId="8" fontId="5" fillId="0" borderId="26" xfId="0" applyNumberFormat="1" applyFont="1" applyBorder="1" applyAlignment="1">
      <alignment horizontal="center" vertical="center"/>
    </xf>
    <xf numFmtId="8" fontId="5" fillId="0" borderId="27" xfId="0" applyNumberFormat="1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5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4" fontId="5" fillId="0" borderId="25" xfId="1" applyFont="1" applyBorder="1" applyAlignment="1">
      <alignment horizontal="center" vertical="center"/>
    </xf>
    <xf numFmtId="0" fontId="0" fillId="0" borderId="32" xfId="0" applyBorder="1"/>
    <xf numFmtId="0" fontId="5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0" fillId="0" borderId="31" xfId="0" applyBorder="1"/>
    <xf numFmtId="0" fontId="5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4" fontId="4" fillId="0" borderId="29" xfId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28" xfId="0" applyBorder="1"/>
    <xf numFmtId="0" fontId="7" fillId="0" borderId="25" xfId="0" applyFont="1" applyBorder="1" applyAlignment="1">
      <alignment horizontal="center" vertical="center" wrapText="1"/>
    </xf>
    <xf numFmtId="44" fontId="4" fillId="0" borderId="25" xfId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8" fontId="2" fillId="0" borderId="6" xfId="0" applyNumberFormat="1" applyFont="1" applyBorder="1" applyAlignment="1">
      <alignment horizontal="center" vertical="center"/>
    </xf>
    <xf numFmtId="8" fontId="2" fillId="0" borderId="16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44" fontId="5" fillId="0" borderId="32" xfId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8" fontId="5" fillId="0" borderId="32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8" fillId="5" borderId="34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vertical="center" wrapText="1"/>
    </xf>
    <xf numFmtId="8" fontId="5" fillId="9" borderId="6" xfId="0" applyNumberFormat="1" applyFont="1" applyFill="1" applyBorder="1" applyAlignment="1">
      <alignment horizontal="center" vertical="center"/>
    </xf>
    <xf numFmtId="8" fontId="5" fillId="9" borderId="26" xfId="0" applyNumberFormat="1" applyFont="1" applyFill="1" applyBorder="1" applyAlignment="1">
      <alignment horizontal="center" vertical="center"/>
    </xf>
    <xf numFmtId="8" fontId="5" fillId="9" borderId="3" xfId="0" applyNumberFormat="1" applyFont="1" applyFill="1" applyBorder="1" applyAlignment="1">
      <alignment horizontal="right" vertical="center"/>
    </xf>
    <xf numFmtId="8" fontId="5" fillId="9" borderId="6" xfId="0" applyNumberFormat="1" applyFont="1" applyFill="1" applyBorder="1" applyAlignment="1">
      <alignment horizontal="right" vertical="center"/>
    </xf>
    <xf numFmtId="8" fontId="5" fillId="10" borderId="6" xfId="0" applyNumberFormat="1" applyFont="1" applyFill="1" applyBorder="1" applyAlignment="1">
      <alignment horizontal="right" vertical="center"/>
    </xf>
    <xf numFmtId="8" fontId="5" fillId="10" borderId="26" xfId="0" applyNumberFormat="1" applyFont="1" applyFill="1" applyBorder="1" applyAlignment="1">
      <alignment horizontal="right" vertical="center"/>
    </xf>
    <xf numFmtId="8" fontId="5" fillId="9" borderId="26" xfId="0" applyNumberFormat="1" applyFont="1" applyFill="1" applyBorder="1" applyAlignment="1">
      <alignment horizontal="right" vertical="center"/>
    </xf>
    <xf numFmtId="44" fontId="5" fillId="0" borderId="22" xfId="1" applyFont="1" applyFill="1" applyBorder="1" applyAlignment="1">
      <alignment horizontal="center" vertical="center"/>
    </xf>
    <xf numFmtId="44" fontId="5" fillId="0" borderId="24" xfId="1" applyFont="1" applyFill="1" applyBorder="1" applyAlignment="1">
      <alignment horizontal="center" vertical="center"/>
    </xf>
    <xf numFmtId="44" fontId="5" fillId="0" borderId="25" xfId="1" applyFont="1" applyFill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44" fontId="2" fillId="0" borderId="29" xfId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44" fontId="5" fillId="0" borderId="6" xfId="0" applyNumberFormat="1" applyFont="1" applyBorder="1" applyAlignment="1">
      <alignment horizontal="center" vertical="center"/>
    </xf>
    <xf numFmtId="8" fontId="5" fillId="0" borderId="35" xfId="0" applyNumberFormat="1" applyFont="1" applyBorder="1" applyAlignment="1">
      <alignment horizontal="center" vertical="center"/>
    </xf>
    <xf numFmtId="44" fontId="8" fillId="0" borderId="20" xfId="1" applyFont="1" applyBorder="1" applyAlignment="1">
      <alignment horizontal="center" vertical="center" wrapText="1"/>
    </xf>
    <xf numFmtId="44" fontId="8" fillId="0" borderId="14" xfId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9" fontId="4" fillId="8" borderId="8" xfId="2" applyFont="1" applyFill="1" applyBorder="1" applyAlignment="1">
      <alignment horizontal="center" vertical="center"/>
    </xf>
    <xf numFmtId="9" fontId="4" fillId="8" borderId="5" xfId="2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4" fontId="4" fillId="0" borderId="8" xfId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29" xfId="0" applyBorder="1" applyAlignment="1">
      <alignment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4" fontId="4" fillId="0" borderId="25" xfId="1" applyFont="1" applyBorder="1" applyAlignment="1">
      <alignment horizontal="center" vertical="center"/>
    </xf>
    <xf numFmtId="44" fontId="4" fillId="0" borderId="22" xfId="1" applyFont="1" applyBorder="1" applyAlignment="1">
      <alignment horizontal="center" vertical="center"/>
    </xf>
    <xf numFmtId="9" fontId="4" fillId="8" borderId="26" xfId="2" applyFont="1" applyFill="1" applyBorder="1" applyAlignment="1">
      <alignment horizontal="center" vertical="center"/>
    </xf>
    <xf numFmtId="9" fontId="4" fillId="8" borderId="6" xfId="2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9" fontId="4" fillId="8" borderId="23" xfId="2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15" fillId="0" borderId="0" xfId="0" applyFont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143699</xdr:rowOff>
    </xdr:from>
    <xdr:to>
      <xdr:col>3</xdr:col>
      <xdr:colOff>32023</xdr:colOff>
      <xdr:row>2</xdr:row>
      <xdr:rowOff>533400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D432217-25D4-80D1-3F5F-18F8F0406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334199"/>
          <a:ext cx="736873" cy="580201"/>
        </a:xfrm>
        <a:prstGeom prst="rect">
          <a:avLst/>
        </a:prstGeom>
      </xdr:spPr>
    </xdr:pic>
    <xdr:clientData/>
  </xdr:twoCellAnchor>
  <xdr:twoCellAnchor editAs="oneCell">
    <xdr:from>
      <xdr:col>5</xdr:col>
      <xdr:colOff>1007251</xdr:colOff>
      <xdr:row>1</xdr:row>
      <xdr:rowOff>145317</xdr:rowOff>
    </xdr:from>
    <xdr:to>
      <xdr:col>8</xdr:col>
      <xdr:colOff>511447</xdr:colOff>
      <xdr:row>2</xdr:row>
      <xdr:rowOff>638175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9565875-FBC4-DB4C-FADF-B99F5E76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4101" y="335817"/>
          <a:ext cx="1885446" cy="683358"/>
        </a:xfrm>
        <a:prstGeom prst="rect">
          <a:avLst/>
        </a:prstGeom>
      </xdr:spPr>
    </xdr:pic>
    <xdr:clientData/>
  </xdr:twoCellAnchor>
  <xdr:twoCellAnchor editAs="oneCell">
    <xdr:from>
      <xdr:col>4</xdr:col>
      <xdr:colOff>271426</xdr:colOff>
      <xdr:row>1</xdr:row>
      <xdr:rowOff>161639</xdr:rowOff>
    </xdr:from>
    <xdr:to>
      <xdr:col>5</xdr:col>
      <xdr:colOff>495300</xdr:colOff>
      <xdr:row>2</xdr:row>
      <xdr:rowOff>526925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011359F-B2DD-F24C-5944-FD39D3C15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9126" y="352139"/>
          <a:ext cx="1043024" cy="555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161925</xdr:rowOff>
    </xdr:from>
    <xdr:to>
      <xdr:col>2</xdr:col>
      <xdr:colOff>794023</xdr:colOff>
      <xdr:row>2</xdr:row>
      <xdr:rowOff>361126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D7E186-01C8-4884-A353-BE6F22748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61925"/>
          <a:ext cx="736873" cy="580201"/>
        </a:xfrm>
        <a:prstGeom prst="rect">
          <a:avLst/>
        </a:prstGeom>
      </xdr:spPr>
    </xdr:pic>
    <xdr:clientData/>
  </xdr:twoCellAnchor>
  <xdr:twoCellAnchor editAs="oneCell">
    <xdr:from>
      <xdr:col>5</xdr:col>
      <xdr:colOff>969151</xdr:colOff>
      <xdr:row>0</xdr:row>
      <xdr:rowOff>163543</xdr:rowOff>
    </xdr:from>
    <xdr:to>
      <xdr:col>8</xdr:col>
      <xdr:colOff>530497</xdr:colOff>
      <xdr:row>2</xdr:row>
      <xdr:rowOff>465901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EFF69C-2EBB-4ED8-A583-60AF2A18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1176" y="163543"/>
          <a:ext cx="1885446" cy="683358"/>
        </a:xfrm>
        <a:prstGeom prst="rect">
          <a:avLst/>
        </a:prstGeom>
      </xdr:spPr>
    </xdr:pic>
    <xdr:clientData/>
  </xdr:twoCellAnchor>
  <xdr:twoCellAnchor editAs="oneCell">
    <xdr:from>
      <xdr:col>4</xdr:col>
      <xdr:colOff>23776</xdr:colOff>
      <xdr:row>0</xdr:row>
      <xdr:rowOff>179865</xdr:rowOff>
    </xdr:from>
    <xdr:to>
      <xdr:col>5</xdr:col>
      <xdr:colOff>457200</xdr:colOff>
      <xdr:row>2</xdr:row>
      <xdr:rowOff>354651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922BC64-893B-4C33-8330-86139493E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6201" y="179865"/>
          <a:ext cx="1043024" cy="555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39147</xdr:colOff>
      <xdr:row>0</xdr:row>
      <xdr:rowOff>104775</xdr:rowOff>
    </xdr:from>
    <xdr:to>
      <xdr:col>7</xdr:col>
      <xdr:colOff>504825</xdr:colOff>
      <xdr:row>4</xdr:row>
      <xdr:rowOff>99432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B6A345-D4DD-401C-A352-8FD771DC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6047" y="104775"/>
          <a:ext cx="960978" cy="756657"/>
        </a:xfrm>
        <a:prstGeom prst="rect">
          <a:avLst/>
        </a:prstGeom>
      </xdr:spPr>
    </xdr:pic>
    <xdr:clientData/>
  </xdr:twoCellAnchor>
  <xdr:twoCellAnchor editAs="oneCell">
    <xdr:from>
      <xdr:col>5</xdr:col>
      <xdr:colOff>371348</xdr:colOff>
      <xdr:row>62</xdr:row>
      <xdr:rowOff>142875</xdr:rowOff>
    </xdr:from>
    <xdr:to>
      <xdr:col>7</xdr:col>
      <xdr:colOff>524891</xdr:colOff>
      <xdr:row>66</xdr:row>
      <xdr:rowOff>66675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4C54D61-A16C-4697-A012-D14FA4D5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073" y="13277850"/>
          <a:ext cx="1287018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125</xdr:row>
      <xdr:rowOff>9525</xdr:rowOff>
    </xdr:from>
    <xdr:to>
      <xdr:col>7</xdr:col>
      <xdr:colOff>533400</xdr:colOff>
      <xdr:row>128</xdr:row>
      <xdr:rowOff>62878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C0A4A3E-7DA8-4139-A4F5-3033F4D0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6603325"/>
          <a:ext cx="1724025" cy="624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371348</xdr:colOff>
      <xdr:row>62</xdr:row>
      <xdr:rowOff>142875</xdr:rowOff>
    </xdr:from>
    <xdr:to>
      <xdr:col>7</xdr:col>
      <xdr:colOff>439166</xdr:colOff>
      <xdr:row>66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B99A9E-AA70-4DB2-BFD6-BCF427D4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623" y="12125325"/>
          <a:ext cx="1287018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125</xdr:row>
      <xdr:rowOff>9525</xdr:rowOff>
    </xdr:from>
    <xdr:to>
      <xdr:col>7</xdr:col>
      <xdr:colOff>476250</xdr:colOff>
      <xdr:row>128</xdr:row>
      <xdr:rowOff>62878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D2B172-66CB-47AD-A7CC-18FE1672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24117300"/>
          <a:ext cx="1724025" cy="62485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0</xdr:row>
      <xdr:rowOff>104775</xdr:rowOff>
    </xdr:from>
    <xdr:to>
      <xdr:col>7</xdr:col>
      <xdr:colOff>503778</xdr:colOff>
      <xdr:row>4</xdr:row>
      <xdr:rowOff>99432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99733C-9865-40FF-8B0A-D07DE2C1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0" y="104775"/>
          <a:ext cx="960978" cy="7566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305847</xdr:colOff>
      <xdr:row>0</xdr:row>
      <xdr:rowOff>76200</xdr:rowOff>
    </xdr:from>
    <xdr:to>
      <xdr:col>6</xdr:col>
      <xdr:colOff>1076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D4F8D3-C679-483B-B5EE-2F4C71BA0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4122" y="76200"/>
          <a:ext cx="1209704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76073</xdr:colOff>
      <xdr:row>66</xdr:row>
      <xdr:rowOff>28575</xdr:rowOff>
    </xdr:from>
    <xdr:to>
      <xdr:col>6</xdr:col>
      <xdr:colOff>28576</xdr:colOff>
      <xdr:row>70</xdr:row>
      <xdr:rowOff>48269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03911-C1CE-4B9D-9610-F71F85E2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348" y="13039725"/>
          <a:ext cx="1466978" cy="781694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134</xdr:row>
      <xdr:rowOff>133350</xdr:rowOff>
    </xdr:from>
    <xdr:to>
      <xdr:col>6</xdr:col>
      <xdr:colOff>34462</xdr:colOff>
      <xdr:row>138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389EF0-2787-44BD-BF43-7B1CDAAE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6250900"/>
          <a:ext cx="1787062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277272</xdr:colOff>
      <xdr:row>0</xdr:row>
      <xdr:rowOff>104775</xdr:rowOff>
    </xdr:from>
    <xdr:to>
      <xdr:col>7</xdr:col>
      <xdr:colOff>458276</xdr:colOff>
      <xdr:row>5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FE8D3A-24A3-4796-95A9-9DBD9CE6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2647" y="104775"/>
          <a:ext cx="1209704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76073</xdr:colOff>
      <xdr:row>1</xdr:row>
      <xdr:rowOff>28575</xdr:rowOff>
    </xdr:from>
    <xdr:to>
      <xdr:col>7</xdr:col>
      <xdr:colOff>447676</xdr:colOff>
      <xdr:row>5</xdr:row>
      <xdr:rowOff>48269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AFA7B0-BB82-4E42-BB07-7BB29D48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273" y="219075"/>
          <a:ext cx="1466978" cy="7816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95123</xdr:colOff>
      <xdr:row>1</xdr:row>
      <xdr:rowOff>66675</xdr:rowOff>
    </xdr:from>
    <xdr:to>
      <xdr:col>7</xdr:col>
      <xdr:colOff>466726</xdr:colOff>
      <xdr:row>5</xdr:row>
      <xdr:rowOff>95894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2D72FF-9447-4CF6-A161-8D3E958C8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323" y="257175"/>
          <a:ext cx="1466978" cy="7912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133350</xdr:rowOff>
    </xdr:from>
    <xdr:to>
      <xdr:col>7</xdr:col>
      <xdr:colOff>510712</xdr:colOff>
      <xdr:row>4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061330-1C68-420E-A9BA-288E8C388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33350"/>
          <a:ext cx="1787062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0</xdr:row>
      <xdr:rowOff>152400</xdr:rowOff>
    </xdr:from>
    <xdr:to>
      <xdr:col>7</xdr:col>
      <xdr:colOff>482137</xdr:colOff>
      <xdr:row>4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B0485C-485B-463B-965D-00C53A5A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2400"/>
          <a:ext cx="1787062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7"/>
  <sheetViews>
    <sheetView showGridLines="0" workbookViewId="0">
      <selection activeCell="J1" sqref="J1:J1048576"/>
    </sheetView>
  </sheetViews>
  <sheetFormatPr defaultColWidth="52.42578125" defaultRowHeight="15" x14ac:dyDescent="0.25"/>
  <cols>
    <col min="1" max="1" width="8.5703125" customWidth="1"/>
    <col min="2" max="2" width="32.140625" bestFit="1" customWidth="1"/>
    <col min="3" max="3" width="19.5703125" bestFit="1" customWidth="1"/>
    <col min="4" max="4" width="6.5703125" bestFit="1" customWidth="1"/>
    <col min="5" max="5" width="12.28515625" bestFit="1" customWidth="1"/>
    <col min="6" max="6" width="17.7109375" style="34" customWidth="1"/>
    <col min="7" max="8" width="9" style="34" bestFit="1" customWidth="1"/>
    <col min="9" max="9" width="11.85546875" style="44" bestFit="1" customWidth="1"/>
    <col min="10" max="10" width="8.28515625" hidden="1" customWidth="1"/>
  </cols>
  <sheetData>
    <row r="1" spans="1:10" ht="15" customHeight="1" x14ac:dyDescent="0.25">
      <c r="A1" s="176" t="s">
        <v>0</v>
      </c>
      <c r="B1" s="176"/>
      <c r="C1" s="176"/>
      <c r="D1" s="176"/>
      <c r="E1" s="176"/>
      <c r="F1" s="176"/>
      <c r="G1" s="176"/>
      <c r="H1" s="176"/>
      <c r="I1" s="176"/>
    </row>
    <row r="2" spans="1:10" ht="15" customHeight="1" x14ac:dyDescent="0.25">
      <c r="A2" s="176"/>
      <c r="B2" s="176"/>
      <c r="C2" s="176"/>
      <c r="D2" s="176"/>
      <c r="E2" s="176"/>
      <c r="F2" s="176"/>
      <c r="G2" s="176"/>
      <c r="H2" s="176"/>
      <c r="I2" s="176"/>
    </row>
    <row r="3" spans="1:10" ht="51" customHeight="1" x14ac:dyDescent="0.25">
      <c r="A3" s="176"/>
      <c r="B3" s="176"/>
      <c r="C3" s="176"/>
      <c r="D3" s="176"/>
      <c r="E3" s="176"/>
      <c r="F3" s="176"/>
      <c r="G3" s="176"/>
      <c r="H3" s="176"/>
      <c r="I3" s="176"/>
    </row>
    <row r="4" spans="1:10" ht="15" customHeight="1" thickBot="1" x14ac:dyDescent="0.3">
      <c r="A4" s="56"/>
      <c r="B4" s="56"/>
      <c r="C4" s="56"/>
      <c r="D4" s="56"/>
      <c r="E4" s="56"/>
      <c r="F4" s="56"/>
      <c r="G4" s="56"/>
      <c r="H4" s="56"/>
      <c r="I4" s="56"/>
    </row>
    <row r="5" spans="1:10" ht="15.75" customHeight="1" thickBot="1" x14ac:dyDescent="0.3">
      <c r="A5" s="177" t="s">
        <v>1</v>
      </c>
      <c r="B5" s="178"/>
      <c r="C5" s="179"/>
      <c r="D5" s="1"/>
      <c r="E5" s="1"/>
      <c r="F5" s="1"/>
      <c r="G5" s="2"/>
      <c r="H5" s="2"/>
      <c r="I5" s="38"/>
      <c r="J5" s="1"/>
    </row>
    <row r="6" spans="1:10" x14ac:dyDescent="0.25">
      <c r="A6" s="174" t="s">
        <v>2</v>
      </c>
      <c r="B6" s="180" t="s">
        <v>3</v>
      </c>
      <c r="C6" s="180" t="s">
        <v>4</v>
      </c>
      <c r="D6" s="182"/>
      <c r="E6" s="180" t="s">
        <v>5</v>
      </c>
      <c r="F6" s="180" t="s">
        <v>99</v>
      </c>
      <c r="G6" s="174" t="s">
        <v>6</v>
      </c>
      <c r="H6" s="187" t="s">
        <v>104</v>
      </c>
      <c r="I6" s="189" t="s">
        <v>7</v>
      </c>
      <c r="J6" s="169"/>
    </row>
    <row r="7" spans="1:10" ht="15.75" thickBot="1" x14ac:dyDescent="0.3">
      <c r="A7" s="175"/>
      <c r="B7" s="181"/>
      <c r="C7" s="181"/>
      <c r="D7" s="183"/>
      <c r="E7" s="181"/>
      <c r="F7" s="181"/>
      <c r="G7" s="175"/>
      <c r="H7" s="188"/>
      <c r="I7" s="190"/>
      <c r="J7" s="170"/>
    </row>
    <row r="8" spans="1:10" ht="15.75" thickBot="1" x14ac:dyDescent="0.3">
      <c r="A8" s="3">
        <v>8</v>
      </c>
      <c r="B8" s="4" t="s">
        <v>8</v>
      </c>
      <c r="C8" s="4" t="s">
        <v>9</v>
      </c>
      <c r="D8" s="4" t="s">
        <v>10</v>
      </c>
      <c r="E8" s="4">
        <v>72</v>
      </c>
      <c r="F8" s="4" t="s">
        <v>11</v>
      </c>
      <c r="G8" s="51" t="s">
        <v>12</v>
      </c>
      <c r="H8" s="5" t="s">
        <v>13</v>
      </c>
      <c r="I8" s="39">
        <f>(J8*$J$6)+J8</f>
        <v>6.99</v>
      </c>
      <c r="J8" s="6">
        <v>6.99</v>
      </c>
    </row>
    <row r="9" spans="1:10" ht="15.75" thickBot="1" x14ac:dyDescent="0.3">
      <c r="A9" s="3">
        <v>310</v>
      </c>
      <c r="B9" s="4" t="s">
        <v>8</v>
      </c>
      <c r="C9" s="4" t="s">
        <v>14</v>
      </c>
      <c r="D9" s="4" t="s">
        <v>15</v>
      </c>
      <c r="E9" s="4">
        <v>60</v>
      </c>
      <c r="F9" s="4" t="s">
        <v>11</v>
      </c>
      <c r="G9" s="51" t="s">
        <v>12</v>
      </c>
      <c r="H9" s="5" t="s">
        <v>16</v>
      </c>
      <c r="I9" s="39">
        <f t="shared" ref="I9:I19" si="0">(J9*$J$6)+J9</f>
        <v>9.74</v>
      </c>
      <c r="J9" s="6">
        <v>9.74</v>
      </c>
    </row>
    <row r="10" spans="1:10" ht="15.75" thickBot="1" x14ac:dyDescent="0.3">
      <c r="A10" s="3">
        <v>326</v>
      </c>
      <c r="B10" s="4" t="s">
        <v>8</v>
      </c>
      <c r="C10" s="4" t="s">
        <v>17</v>
      </c>
      <c r="D10" s="4" t="s">
        <v>18</v>
      </c>
      <c r="E10" s="4">
        <v>50</v>
      </c>
      <c r="F10" s="4" t="s">
        <v>11</v>
      </c>
      <c r="G10" s="51" t="s">
        <v>12</v>
      </c>
      <c r="H10" s="5" t="s">
        <v>19</v>
      </c>
      <c r="I10" s="39">
        <f t="shared" si="0"/>
        <v>11.85</v>
      </c>
      <c r="J10" s="6">
        <v>11.85</v>
      </c>
    </row>
    <row r="11" spans="1:10" ht="15.75" thickBot="1" x14ac:dyDescent="0.3">
      <c r="A11" s="3">
        <v>13</v>
      </c>
      <c r="B11" s="4" t="s">
        <v>8</v>
      </c>
      <c r="C11" s="4" t="s">
        <v>17</v>
      </c>
      <c r="D11" s="4" t="s">
        <v>10</v>
      </c>
      <c r="E11" s="4">
        <v>50</v>
      </c>
      <c r="F11" s="4" t="s">
        <v>20</v>
      </c>
      <c r="G11" s="51" t="s">
        <v>12</v>
      </c>
      <c r="H11" s="5" t="s">
        <v>19</v>
      </c>
      <c r="I11" s="39">
        <f t="shared" si="0"/>
        <v>10.88</v>
      </c>
      <c r="J11" s="6">
        <v>10.88</v>
      </c>
    </row>
    <row r="12" spans="1:10" ht="15.75" thickBot="1" x14ac:dyDescent="0.3">
      <c r="A12" s="3">
        <v>313</v>
      </c>
      <c r="B12" s="4" t="s">
        <v>8</v>
      </c>
      <c r="C12" s="4" t="s">
        <v>21</v>
      </c>
      <c r="D12" s="4" t="s">
        <v>15</v>
      </c>
      <c r="E12" s="4">
        <v>50</v>
      </c>
      <c r="F12" s="4" t="s">
        <v>20</v>
      </c>
      <c r="G12" s="51" t="s">
        <v>12</v>
      </c>
      <c r="H12" s="5" t="s">
        <v>22</v>
      </c>
      <c r="I12" s="39">
        <f t="shared" si="0"/>
        <v>11.98</v>
      </c>
      <c r="J12" s="6">
        <v>11.98</v>
      </c>
    </row>
    <row r="13" spans="1:10" ht="15.75" thickBot="1" x14ac:dyDescent="0.3">
      <c r="A13" s="3">
        <v>329</v>
      </c>
      <c r="B13" s="4" t="s">
        <v>8</v>
      </c>
      <c r="C13" s="4" t="s">
        <v>23</v>
      </c>
      <c r="D13" s="4" t="s">
        <v>18</v>
      </c>
      <c r="E13" s="4">
        <v>50</v>
      </c>
      <c r="F13" s="4" t="s">
        <v>20</v>
      </c>
      <c r="G13" s="51" t="s">
        <v>12</v>
      </c>
      <c r="H13" s="5" t="s">
        <v>24</v>
      </c>
      <c r="I13" s="39">
        <f t="shared" si="0"/>
        <v>14.22</v>
      </c>
      <c r="J13" s="6">
        <v>14.22</v>
      </c>
    </row>
    <row r="14" spans="1:10" ht="15.75" thickBot="1" x14ac:dyDescent="0.3">
      <c r="A14" s="3">
        <v>51</v>
      </c>
      <c r="B14" s="4" t="s">
        <v>8</v>
      </c>
      <c r="C14" s="4" t="s">
        <v>107</v>
      </c>
      <c r="D14" s="4" t="s">
        <v>10</v>
      </c>
      <c r="E14" s="4">
        <v>40</v>
      </c>
      <c r="F14" s="4" t="s">
        <v>25</v>
      </c>
      <c r="G14" s="7" t="s">
        <v>26</v>
      </c>
      <c r="H14" s="5" t="s">
        <v>27</v>
      </c>
      <c r="I14" s="39">
        <f t="shared" si="0"/>
        <v>14.46</v>
      </c>
      <c r="J14" s="6">
        <v>14.46</v>
      </c>
    </row>
    <row r="15" spans="1:10" ht="15.75" thickBot="1" x14ac:dyDescent="0.3">
      <c r="A15" s="3">
        <v>339</v>
      </c>
      <c r="B15" s="4" t="s">
        <v>8</v>
      </c>
      <c r="C15" s="4" t="s">
        <v>107</v>
      </c>
      <c r="D15" s="4" t="s">
        <v>15</v>
      </c>
      <c r="E15" s="4">
        <v>32</v>
      </c>
      <c r="F15" s="4" t="s">
        <v>25</v>
      </c>
      <c r="G15" s="7" t="s">
        <v>26</v>
      </c>
      <c r="H15" s="5" t="s">
        <v>27</v>
      </c>
      <c r="I15" s="39">
        <f t="shared" si="0"/>
        <v>16.579999999999998</v>
      </c>
      <c r="J15" s="6">
        <v>16.579999999999998</v>
      </c>
    </row>
    <row r="16" spans="1:10" ht="15.75" thickBot="1" x14ac:dyDescent="0.3">
      <c r="A16" s="3">
        <v>349</v>
      </c>
      <c r="B16" s="4" t="s">
        <v>8</v>
      </c>
      <c r="C16" s="4" t="s">
        <v>107</v>
      </c>
      <c r="D16" s="4" t="s">
        <v>18</v>
      </c>
      <c r="E16" s="4">
        <v>32</v>
      </c>
      <c r="F16" s="4" t="s">
        <v>25</v>
      </c>
      <c r="G16" s="7" t="s">
        <v>26</v>
      </c>
      <c r="H16" s="5" t="s">
        <v>27</v>
      </c>
      <c r="I16" s="39">
        <f t="shared" si="0"/>
        <v>19.22</v>
      </c>
      <c r="J16" s="6">
        <v>19.22</v>
      </c>
    </row>
    <row r="17" spans="1:10" ht="15.75" thickBot="1" x14ac:dyDescent="0.3">
      <c r="A17" s="3">
        <v>1957</v>
      </c>
      <c r="B17" s="4" t="s">
        <v>8</v>
      </c>
      <c r="C17" s="4" t="s">
        <v>106</v>
      </c>
      <c r="D17" s="4" t="s">
        <v>10</v>
      </c>
      <c r="E17" s="4">
        <v>40</v>
      </c>
      <c r="F17" s="4" t="s">
        <v>25</v>
      </c>
      <c r="G17" s="52" t="s">
        <v>105</v>
      </c>
      <c r="H17" s="5" t="s">
        <v>27</v>
      </c>
      <c r="I17" s="39">
        <f t="shared" si="0"/>
        <v>27.88</v>
      </c>
      <c r="J17" s="6">
        <v>27.88</v>
      </c>
    </row>
    <row r="18" spans="1:10" ht="15.75" thickBot="1" x14ac:dyDescent="0.3">
      <c r="A18" s="3">
        <v>1958</v>
      </c>
      <c r="B18" s="4" t="s">
        <v>8</v>
      </c>
      <c r="C18" s="4" t="s">
        <v>106</v>
      </c>
      <c r="D18" s="4" t="s">
        <v>15</v>
      </c>
      <c r="E18" s="4">
        <v>32</v>
      </c>
      <c r="F18" s="4" t="s">
        <v>25</v>
      </c>
      <c r="G18" s="52" t="s">
        <v>105</v>
      </c>
      <c r="H18" s="5" t="s">
        <v>27</v>
      </c>
      <c r="I18" s="39">
        <f t="shared" si="0"/>
        <v>28.67</v>
      </c>
      <c r="J18" s="6">
        <v>28.67</v>
      </c>
    </row>
    <row r="19" spans="1:10" ht="15.75" thickBot="1" x14ac:dyDescent="0.3">
      <c r="A19" s="3">
        <v>1959</v>
      </c>
      <c r="B19" s="4" t="s">
        <v>8</v>
      </c>
      <c r="C19" s="4" t="s">
        <v>106</v>
      </c>
      <c r="D19" s="4" t="s">
        <v>18</v>
      </c>
      <c r="E19" s="4">
        <v>32</v>
      </c>
      <c r="F19" s="4" t="s">
        <v>25</v>
      </c>
      <c r="G19" s="52" t="s">
        <v>105</v>
      </c>
      <c r="H19" s="5" t="s">
        <v>27</v>
      </c>
      <c r="I19" s="39">
        <f t="shared" si="0"/>
        <v>30.77</v>
      </c>
      <c r="J19" s="6">
        <v>30.77</v>
      </c>
    </row>
    <row r="20" spans="1:10" ht="15.75" thickBot="1" x14ac:dyDescent="0.3">
      <c r="A20" s="191"/>
      <c r="B20" s="191"/>
      <c r="C20" s="191"/>
      <c r="D20" s="191"/>
      <c r="E20" s="191"/>
      <c r="F20" s="191"/>
      <c r="G20" s="191"/>
      <c r="H20" s="191"/>
      <c r="I20" s="191"/>
    </row>
    <row r="21" spans="1:10" ht="15.75" customHeight="1" thickBot="1" x14ac:dyDescent="0.3">
      <c r="A21" s="192" t="s">
        <v>28</v>
      </c>
      <c r="B21" s="193"/>
      <c r="C21" s="194"/>
      <c r="D21" s="195"/>
      <c r="E21" s="196"/>
      <c r="F21" s="196"/>
      <c r="G21" s="196"/>
      <c r="H21" s="196"/>
      <c r="I21" s="196"/>
      <c r="J21" s="50"/>
    </row>
    <row r="22" spans="1:10" ht="15.75" thickBot="1" x14ac:dyDescent="0.3">
      <c r="A22" s="3">
        <v>85</v>
      </c>
      <c r="B22" s="4" t="s">
        <v>29</v>
      </c>
      <c r="C22" s="4" t="s">
        <v>30</v>
      </c>
      <c r="D22" s="4" t="s">
        <v>10</v>
      </c>
      <c r="E22" s="4">
        <v>36</v>
      </c>
      <c r="F22" s="4" t="s">
        <v>11</v>
      </c>
      <c r="G22" s="51" t="s">
        <v>12</v>
      </c>
      <c r="H22" s="5" t="s">
        <v>31</v>
      </c>
      <c r="I22" s="39">
        <f t="shared" ref="I22:I29" si="1">(J22*$J$6)+J22</f>
        <v>15.44</v>
      </c>
      <c r="J22" s="6">
        <v>15.44</v>
      </c>
    </row>
    <row r="23" spans="1:10" ht="15.75" thickBot="1" x14ac:dyDescent="0.3">
      <c r="A23" s="3">
        <v>263</v>
      </c>
      <c r="B23" s="4" t="s">
        <v>29</v>
      </c>
      <c r="C23" s="4" t="s">
        <v>30</v>
      </c>
      <c r="D23" s="4" t="s">
        <v>15</v>
      </c>
      <c r="E23" s="4">
        <v>30</v>
      </c>
      <c r="F23" s="4" t="s">
        <v>11</v>
      </c>
      <c r="G23" s="51" t="s">
        <v>12</v>
      </c>
      <c r="H23" s="5" t="s">
        <v>32</v>
      </c>
      <c r="I23" s="39">
        <f t="shared" si="1"/>
        <v>18.86</v>
      </c>
      <c r="J23" s="6">
        <v>18.86</v>
      </c>
    </row>
    <row r="24" spans="1:10" ht="15.75" thickBot="1" x14ac:dyDescent="0.3">
      <c r="A24" s="3">
        <v>279</v>
      </c>
      <c r="B24" s="4" t="s">
        <v>29</v>
      </c>
      <c r="C24" s="4" t="s">
        <v>30</v>
      </c>
      <c r="D24" s="4" t="s">
        <v>18</v>
      </c>
      <c r="E24" s="4">
        <v>30</v>
      </c>
      <c r="F24" s="4" t="s">
        <v>11</v>
      </c>
      <c r="G24" s="51" t="s">
        <v>12</v>
      </c>
      <c r="H24" s="5" t="s">
        <v>33</v>
      </c>
      <c r="I24" s="39">
        <f t="shared" si="1"/>
        <v>19.88</v>
      </c>
      <c r="J24" s="6">
        <v>19.88</v>
      </c>
    </row>
    <row r="25" spans="1:10" ht="15.75" thickBot="1" x14ac:dyDescent="0.3">
      <c r="A25" s="3">
        <v>94</v>
      </c>
      <c r="B25" s="4" t="s">
        <v>29</v>
      </c>
      <c r="C25" s="4" t="s">
        <v>30</v>
      </c>
      <c r="D25" s="4" t="s">
        <v>10</v>
      </c>
      <c r="E25" s="4">
        <v>30</v>
      </c>
      <c r="F25" s="4" t="s">
        <v>20</v>
      </c>
      <c r="G25" s="51" t="s">
        <v>12</v>
      </c>
      <c r="H25" s="5" t="s">
        <v>34</v>
      </c>
      <c r="I25" s="39">
        <f t="shared" si="1"/>
        <v>22.8</v>
      </c>
      <c r="J25" s="6">
        <v>22.8</v>
      </c>
    </row>
    <row r="26" spans="1:10" ht="15.75" thickBot="1" x14ac:dyDescent="0.3">
      <c r="A26" s="3">
        <v>271</v>
      </c>
      <c r="B26" s="4" t="s">
        <v>29</v>
      </c>
      <c r="C26" s="4" t="s">
        <v>30</v>
      </c>
      <c r="D26" s="4" t="s">
        <v>15</v>
      </c>
      <c r="E26" s="4">
        <v>25</v>
      </c>
      <c r="F26" s="4" t="s">
        <v>20</v>
      </c>
      <c r="G26" s="51" t="s">
        <v>12</v>
      </c>
      <c r="H26" s="5" t="s">
        <v>35</v>
      </c>
      <c r="I26" s="39">
        <f t="shared" si="1"/>
        <v>24.86</v>
      </c>
      <c r="J26" s="6">
        <v>24.86</v>
      </c>
    </row>
    <row r="27" spans="1:10" ht="15.75" thickBot="1" x14ac:dyDescent="0.3">
      <c r="A27" s="3">
        <v>286</v>
      </c>
      <c r="B27" s="4" t="s">
        <v>29</v>
      </c>
      <c r="C27" s="4" t="s">
        <v>30</v>
      </c>
      <c r="D27" s="4" t="s">
        <v>18</v>
      </c>
      <c r="E27" s="4">
        <v>25</v>
      </c>
      <c r="F27" s="4" t="s">
        <v>20</v>
      </c>
      <c r="G27" s="51" t="s">
        <v>12</v>
      </c>
      <c r="H27" s="5" t="s">
        <v>36</v>
      </c>
      <c r="I27" s="39">
        <f t="shared" si="1"/>
        <v>26.86</v>
      </c>
      <c r="J27" s="6">
        <v>26.86</v>
      </c>
    </row>
    <row r="28" spans="1:10" ht="15.75" thickBot="1" x14ac:dyDescent="0.3">
      <c r="A28" s="3">
        <v>132</v>
      </c>
      <c r="B28" s="4" t="s">
        <v>29</v>
      </c>
      <c r="C28" s="4" t="s">
        <v>30</v>
      </c>
      <c r="D28" s="4" t="s">
        <v>10</v>
      </c>
      <c r="E28" s="4">
        <v>20</v>
      </c>
      <c r="F28" s="4" t="s">
        <v>25</v>
      </c>
      <c r="G28" s="7" t="s">
        <v>26</v>
      </c>
      <c r="H28" s="5" t="s">
        <v>37</v>
      </c>
      <c r="I28" s="39">
        <f t="shared" si="1"/>
        <v>29.67</v>
      </c>
      <c r="J28" s="6">
        <v>29.67</v>
      </c>
    </row>
    <row r="29" spans="1:10" ht="15.75" thickBot="1" x14ac:dyDescent="0.3">
      <c r="A29" s="3">
        <v>294</v>
      </c>
      <c r="B29" s="4" t="s">
        <v>29</v>
      </c>
      <c r="C29" s="4" t="s">
        <v>30</v>
      </c>
      <c r="D29" s="4" t="s">
        <v>15</v>
      </c>
      <c r="E29" s="4">
        <v>20</v>
      </c>
      <c r="F29" s="4" t="s">
        <v>25</v>
      </c>
      <c r="G29" s="7" t="s">
        <v>26</v>
      </c>
      <c r="H29" s="5" t="s">
        <v>38</v>
      </c>
      <c r="I29" s="39">
        <f t="shared" si="1"/>
        <v>30.58</v>
      </c>
      <c r="J29" s="6">
        <v>30.58</v>
      </c>
    </row>
    <row r="30" spans="1:10" ht="15.75" thickBot="1" x14ac:dyDescent="0.3">
      <c r="A30" s="3">
        <v>300</v>
      </c>
      <c r="B30" s="4" t="s">
        <v>29</v>
      </c>
      <c r="C30" s="4" t="s">
        <v>30</v>
      </c>
      <c r="D30" s="4" t="s">
        <v>18</v>
      </c>
      <c r="E30" s="4">
        <v>20</v>
      </c>
      <c r="F30" s="4" t="s">
        <v>25</v>
      </c>
      <c r="G30" s="7" t="s">
        <v>26</v>
      </c>
      <c r="H30" s="5" t="s">
        <v>39</v>
      </c>
      <c r="I30" s="39">
        <f t="shared" ref="I30:I33" si="2">(J30*$J$6)+J30</f>
        <v>32.94</v>
      </c>
      <c r="J30" s="6">
        <v>32.94</v>
      </c>
    </row>
    <row r="31" spans="1:10" ht="15.75" thickBot="1" x14ac:dyDescent="0.3">
      <c r="A31" s="3">
        <v>1960</v>
      </c>
      <c r="B31" s="4" t="s">
        <v>29</v>
      </c>
      <c r="C31" s="4" t="s">
        <v>111</v>
      </c>
      <c r="D31" s="4" t="s">
        <v>10</v>
      </c>
      <c r="E31" s="4"/>
      <c r="F31" s="4" t="s">
        <v>25</v>
      </c>
      <c r="G31" s="52" t="s">
        <v>105</v>
      </c>
      <c r="H31" s="5" t="s">
        <v>108</v>
      </c>
      <c r="I31" s="39">
        <f t="shared" si="2"/>
        <v>94.88</v>
      </c>
      <c r="J31" s="6">
        <v>94.88</v>
      </c>
    </row>
    <row r="32" spans="1:10" ht="15.75" thickBot="1" x14ac:dyDescent="0.3">
      <c r="A32" s="3">
        <v>1961</v>
      </c>
      <c r="B32" s="4" t="s">
        <v>29</v>
      </c>
      <c r="C32" s="4" t="s">
        <v>111</v>
      </c>
      <c r="D32" s="4" t="s">
        <v>15</v>
      </c>
      <c r="E32" s="4"/>
      <c r="F32" s="4" t="s">
        <v>25</v>
      </c>
      <c r="G32" s="52" t="s">
        <v>105</v>
      </c>
      <c r="H32" s="5" t="s">
        <v>109</v>
      </c>
      <c r="I32" s="39">
        <f t="shared" si="2"/>
        <v>98.7</v>
      </c>
      <c r="J32" s="6">
        <v>98.7</v>
      </c>
    </row>
    <row r="33" spans="1:10" ht="15.75" thickBot="1" x14ac:dyDescent="0.3">
      <c r="A33" s="3">
        <v>1962</v>
      </c>
      <c r="B33" s="4" t="s">
        <v>29</v>
      </c>
      <c r="C33" s="4" t="s">
        <v>111</v>
      </c>
      <c r="D33" s="4" t="s">
        <v>18</v>
      </c>
      <c r="E33" s="4"/>
      <c r="F33" s="4" t="s">
        <v>25</v>
      </c>
      <c r="G33" s="52" t="s">
        <v>105</v>
      </c>
      <c r="H33" s="5" t="s">
        <v>110</v>
      </c>
      <c r="I33" s="39">
        <f t="shared" si="2"/>
        <v>107.44</v>
      </c>
      <c r="J33" s="6">
        <v>107.44</v>
      </c>
    </row>
    <row r="34" spans="1:10" x14ac:dyDescent="0.25">
      <c r="A34" s="8"/>
      <c r="B34" s="9"/>
      <c r="C34" s="9"/>
      <c r="D34" s="9"/>
      <c r="E34" s="9"/>
      <c r="F34" s="9"/>
      <c r="G34" s="11"/>
      <c r="H34" s="8"/>
      <c r="I34" s="40"/>
      <c r="J34" s="9"/>
    </row>
    <row r="35" spans="1:10" x14ac:dyDescent="0.25">
      <c r="A35" s="197"/>
      <c r="B35" s="197"/>
      <c r="C35" s="197"/>
      <c r="D35" s="197"/>
      <c r="E35" s="197"/>
      <c r="F35" s="197"/>
      <c r="G35" s="197"/>
      <c r="H35" s="197"/>
      <c r="I35" s="197"/>
    </row>
    <row r="36" spans="1:10" x14ac:dyDescent="0.25">
      <c r="A36" s="197"/>
      <c r="B36" s="197"/>
      <c r="C36" s="197"/>
      <c r="D36" s="197"/>
      <c r="E36" s="197"/>
      <c r="F36" s="197"/>
      <c r="G36" s="197"/>
      <c r="H36" s="197"/>
      <c r="I36" s="197"/>
    </row>
    <row r="37" spans="1:10" x14ac:dyDescent="0.25">
      <c r="A37" s="197"/>
      <c r="B37" s="197"/>
      <c r="C37" s="197"/>
      <c r="D37" s="197"/>
      <c r="E37" s="197"/>
      <c r="F37" s="197"/>
      <c r="G37" s="197"/>
      <c r="H37" s="197"/>
      <c r="I37" s="197"/>
    </row>
    <row r="38" spans="1:10" ht="15.75" thickBot="1" x14ac:dyDescent="0.3">
      <c r="A38" s="197"/>
      <c r="B38" s="197"/>
      <c r="C38" s="197"/>
      <c r="D38" s="197"/>
      <c r="E38" s="197"/>
      <c r="F38" s="197"/>
      <c r="G38" s="197"/>
      <c r="H38" s="197"/>
      <c r="I38" s="197"/>
    </row>
    <row r="39" spans="1:10" ht="15.75" customHeight="1" thickBot="1" x14ac:dyDescent="0.3">
      <c r="A39" s="198" t="s">
        <v>40</v>
      </c>
      <c r="B39" s="199"/>
      <c r="C39" s="200"/>
      <c r="D39" s="9"/>
      <c r="E39" s="9"/>
      <c r="F39" s="9"/>
      <c r="G39" s="11"/>
      <c r="H39" s="8"/>
      <c r="I39" s="40"/>
      <c r="J39" s="9"/>
    </row>
    <row r="40" spans="1:10" ht="15.75" thickBot="1" x14ac:dyDescent="0.3">
      <c r="A40" s="3">
        <v>1</v>
      </c>
      <c r="B40" s="4" t="s">
        <v>41</v>
      </c>
      <c r="C40" s="4" t="s">
        <v>42</v>
      </c>
      <c r="D40" s="12" t="s">
        <v>10</v>
      </c>
      <c r="E40" s="12">
        <v>1000</v>
      </c>
      <c r="F40" s="12" t="s">
        <v>11</v>
      </c>
      <c r="G40" s="54" t="s">
        <v>12</v>
      </c>
      <c r="H40" s="13"/>
      <c r="I40" s="41">
        <f t="shared" ref="I40:I48" si="3">(J40*$J$6)+J40</f>
        <v>0.38</v>
      </c>
      <c r="J40" s="37">
        <v>0.38</v>
      </c>
    </row>
    <row r="41" spans="1:10" ht="15.75" thickBot="1" x14ac:dyDescent="0.3">
      <c r="A41" s="3">
        <v>2</v>
      </c>
      <c r="B41" s="4" t="s">
        <v>43</v>
      </c>
      <c r="C41" s="4" t="s">
        <v>42</v>
      </c>
      <c r="D41" s="4" t="s">
        <v>15</v>
      </c>
      <c r="E41" s="4">
        <v>1000</v>
      </c>
      <c r="F41" s="4" t="s">
        <v>11</v>
      </c>
      <c r="G41" s="51" t="s">
        <v>12</v>
      </c>
      <c r="H41" s="5"/>
      <c r="I41" s="39">
        <f t="shared" si="3"/>
        <v>0.4</v>
      </c>
      <c r="J41" s="36">
        <v>0.4</v>
      </c>
    </row>
    <row r="42" spans="1:10" ht="15.75" thickBot="1" x14ac:dyDescent="0.3">
      <c r="A42" s="3">
        <v>3</v>
      </c>
      <c r="B42" s="4" t="s">
        <v>44</v>
      </c>
      <c r="C42" s="4" t="s">
        <v>42</v>
      </c>
      <c r="D42" s="4" t="s">
        <v>18</v>
      </c>
      <c r="E42" s="4">
        <v>1000</v>
      </c>
      <c r="F42" s="4" t="s">
        <v>11</v>
      </c>
      <c r="G42" s="51" t="s">
        <v>12</v>
      </c>
      <c r="H42" s="5"/>
      <c r="I42" s="39">
        <f t="shared" si="3"/>
        <v>0.42</v>
      </c>
      <c r="J42" s="36">
        <v>0.42</v>
      </c>
    </row>
    <row r="43" spans="1:10" ht="15.75" thickBot="1" x14ac:dyDescent="0.3">
      <c r="A43" s="3">
        <v>152</v>
      </c>
      <c r="B43" s="4" t="s">
        <v>41</v>
      </c>
      <c r="C43" s="4" t="s">
        <v>42</v>
      </c>
      <c r="D43" s="12" t="s">
        <v>10</v>
      </c>
      <c r="E43" s="12">
        <v>1000</v>
      </c>
      <c r="F43" s="4" t="s">
        <v>20</v>
      </c>
      <c r="G43" s="7" t="s">
        <v>26</v>
      </c>
      <c r="H43" s="5"/>
      <c r="I43" s="39">
        <f t="shared" si="3"/>
        <v>0.44</v>
      </c>
      <c r="J43" s="36">
        <v>0.44</v>
      </c>
    </row>
    <row r="44" spans="1:10" ht="15.75" thickBot="1" x14ac:dyDescent="0.3">
      <c r="A44" s="3">
        <v>153</v>
      </c>
      <c r="B44" s="4" t="s">
        <v>43</v>
      </c>
      <c r="C44" s="4" t="s">
        <v>42</v>
      </c>
      <c r="D44" s="4" t="s">
        <v>15</v>
      </c>
      <c r="E44" s="4">
        <v>1000</v>
      </c>
      <c r="F44" s="4" t="s">
        <v>20</v>
      </c>
      <c r="G44" s="7" t="s">
        <v>26</v>
      </c>
      <c r="H44" s="5"/>
      <c r="I44" s="39">
        <f t="shared" si="3"/>
        <v>0.47</v>
      </c>
      <c r="J44" s="36">
        <v>0.47</v>
      </c>
    </row>
    <row r="45" spans="1:10" ht="15.75" thickBot="1" x14ac:dyDescent="0.3">
      <c r="A45" s="3">
        <v>154</v>
      </c>
      <c r="B45" s="4" t="s">
        <v>44</v>
      </c>
      <c r="C45" s="4" t="s">
        <v>42</v>
      </c>
      <c r="D45" s="4" t="s">
        <v>18</v>
      </c>
      <c r="E45" s="4">
        <v>1000</v>
      </c>
      <c r="F45" s="4" t="s">
        <v>20</v>
      </c>
      <c r="G45" s="7" t="s">
        <v>26</v>
      </c>
      <c r="H45" s="5"/>
      <c r="I45" s="39">
        <f t="shared" si="3"/>
        <v>0.49</v>
      </c>
      <c r="J45" s="36">
        <v>0.49</v>
      </c>
    </row>
    <row r="46" spans="1:10" ht="15.75" thickBot="1" x14ac:dyDescent="0.3">
      <c r="A46" s="3">
        <v>1641</v>
      </c>
      <c r="B46" s="4" t="s">
        <v>95</v>
      </c>
      <c r="C46" s="4" t="s">
        <v>42</v>
      </c>
      <c r="D46" s="12" t="s">
        <v>10</v>
      </c>
      <c r="E46" s="12">
        <v>1000</v>
      </c>
      <c r="F46" s="12" t="s">
        <v>25</v>
      </c>
      <c r="G46" s="53" t="s">
        <v>98</v>
      </c>
      <c r="H46" s="13"/>
      <c r="I46" s="42">
        <f t="shared" si="3"/>
        <v>0.6</v>
      </c>
      <c r="J46" s="37">
        <v>0.6</v>
      </c>
    </row>
    <row r="47" spans="1:10" ht="15.75" customHeight="1" thickBot="1" x14ac:dyDescent="0.3">
      <c r="A47" s="3">
        <v>1642</v>
      </c>
      <c r="B47" s="4" t="s">
        <v>96</v>
      </c>
      <c r="C47" s="4" t="s">
        <v>42</v>
      </c>
      <c r="D47" s="4" t="s">
        <v>15</v>
      </c>
      <c r="E47" s="4">
        <v>1000</v>
      </c>
      <c r="F47" s="4" t="s">
        <v>25</v>
      </c>
      <c r="G47" s="53" t="s">
        <v>98</v>
      </c>
      <c r="H47" s="5"/>
      <c r="I47" s="43">
        <f t="shared" si="3"/>
        <v>0.62</v>
      </c>
      <c r="J47" s="36">
        <v>0.62</v>
      </c>
    </row>
    <row r="48" spans="1:10" ht="15.75" thickBot="1" x14ac:dyDescent="0.3">
      <c r="A48" s="3">
        <v>1643</v>
      </c>
      <c r="B48" s="4" t="s">
        <v>97</v>
      </c>
      <c r="C48" s="4" t="s">
        <v>42</v>
      </c>
      <c r="D48" s="4" t="s">
        <v>18</v>
      </c>
      <c r="E48" s="4">
        <v>1000</v>
      </c>
      <c r="F48" s="4" t="s">
        <v>25</v>
      </c>
      <c r="G48" s="53" t="s">
        <v>98</v>
      </c>
      <c r="H48" s="5"/>
      <c r="I48" s="43">
        <f t="shared" si="3"/>
        <v>0.65</v>
      </c>
      <c r="J48" s="36">
        <v>0.65</v>
      </c>
    </row>
    <row r="49" spans="1:10" ht="15.75" thickBot="1" x14ac:dyDescent="0.3">
      <c r="A49" s="14"/>
      <c r="B49" s="10"/>
      <c r="C49" s="10"/>
      <c r="D49" s="9"/>
      <c r="E49" s="9"/>
      <c r="F49" s="9"/>
      <c r="G49" s="8"/>
      <c r="H49" s="8"/>
      <c r="I49" s="40"/>
      <c r="J49" s="9"/>
    </row>
    <row r="50" spans="1:10" ht="15.75" customHeight="1" thickBot="1" x14ac:dyDescent="0.3">
      <c r="A50" s="201" t="s">
        <v>45</v>
      </c>
      <c r="B50" s="202"/>
      <c r="C50" s="203"/>
      <c r="D50" s="15"/>
      <c r="E50" s="204"/>
      <c r="F50" s="204"/>
      <c r="G50" s="204"/>
      <c r="H50" s="204"/>
      <c r="I50" s="204"/>
    </row>
    <row r="51" spans="1:10" ht="15.75" thickBot="1" x14ac:dyDescent="0.3">
      <c r="A51" s="3">
        <v>1586</v>
      </c>
      <c r="B51" s="4" t="s">
        <v>46</v>
      </c>
      <c r="C51" s="4" t="s">
        <v>47</v>
      </c>
      <c r="D51" s="12"/>
      <c r="E51" s="57">
        <v>12</v>
      </c>
      <c r="F51" s="12" t="s">
        <v>48</v>
      </c>
      <c r="G51" s="54" t="s">
        <v>12</v>
      </c>
      <c r="H51" s="13" t="s">
        <v>49</v>
      </c>
      <c r="I51" s="41">
        <f t="shared" ref="I51:I59" si="4">(J51*$J$6)+J51</f>
        <v>49.5</v>
      </c>
      <c r="J51" s="55">
        <v>49.5</v>
      </c>
    </row>
    <row r="52" spans="1:10" ht="15.75" thickBot="1" x14ac:dyDescent="0.3">
      <c r="A52" s="3"/>
      <c r="B52" s="4" t="s">
        <v>46</v>
      </c>
      <c r="C52" s="4" t="s">
        <v>47</v>
      </c>
      <c r="D52" s="4"/>
      <c r="E52" s="4">
        <v>12</v>
      </c>
      <c r="F52" s="4" t="s">
        <v>113</v>
      </c>
      <c r="G52" s="54" t="s">
        <v>12</v>
      </c>
      <c r="H52" s="5"/>
      <c r="I52" s="39">
        <f t="shared" si="4"/>
        <v>48.5</v>
      </c>
      <c r="J52" s="39">
        <v>48.5</v>
      </c>
    </row>
    <row r="53" spans="1:10" ht="15.75" thickBot="1" x14ac:dyDescent="0.3">
      <c r="A53" s="3">
        <v>1588</v>
      </c>
      <c r="B53" s="4" t="s">
        <v>50</v>
      </c>
      <c r="C53" s="4" t="s">
        <v>100</v>
      </c>
      <c r="D53" s="4"/>
      <c r="E53" s="4">
        <v>150</v>
      </c>
      <c r="F53" s="4" t="s">
        <v>48</v>
      </c>
      <c r="G53" s="51" t="s">
        <v>12</v>
      </c>
      <c r="H53" s="5" t="s">
        <v>51</v>
      </c>
      <c r="I53" s="39">
        <f t="shared" si="4"/>
        <v>5.18</v>
      </c>
      <c r="J53" s="6">
        <v>5.18</v>
      </c>
    </row>
    <row r="54" spans="1:10" ht="15.75" thickBot="1" x14ac:dyDescent="0.3">
      <c r="A54" s="3">
        <v>1587</v>
      </c>
      <c r="B54" s="4" t="s">
        <v>50</v>
      </c>
      <c r="C54" s="4" t="s">
        <v>101</v>
      </c>
      <c r="D54" s="4"/>
      <c r="E54" s="4">
        <v>300</v>
      </c>
      <c r="F54" s="4" t="s">
        <v>48</v>
      </c>
      <c r="G54" s="51" t="s">
        <v>12</v>
      </c>
      <c r="H54" s="5" t="s">
        <v>51</v>
      </c>
      <c r="I54" s="39">
        <f t="shared" si="4"/>
        <v>2.8</v>
      </c>
      <c r="J54" s="6">
        <v>2.8</v>
      </c>
    </row>
    <row r="55" spans="1:10" ht="15.75" thickBot="1" x14ac:dyDescent="0.3">
      <c r="A55" s="3">
        <v>155</v>
      </c>
      <c r="B55" s="4" t="s">
        <v>46</v>
      </c>
      <c r="C55" s="4" t="s">
        <v>47</v>
      </c>
      <c r="D55" s="12"/>
      <c r="E55" s="4">
        <v>12</v>
      </c>
      <c r="F55" s="4" t="s">
        <v>48</v>
      </c>
      <c r="G55" s="7" t="s">
        <v>26</v>
      </c>
      <c r="H55" s="5" t="s">
        <v>49</v>
      </c>
      <c r="I55" s="39">
        <f t="shared" si="4"/>
        <v>71</v>
      </c>
      <c r="J55" s="6">
        <v>71</v>
      </c>
    </row>
    <row r="56" spans="1:10" ht="15.75" thickBot="1" x14ac:dyDescent="0.3">
      <c r="A56" s="3">
        <v>158</v>
      </c>
      <c r="B56" s="4" t="s">
        <v>50</v>
      </c>
      <c r="C56" s="4" t="s">
        <v>100</v>
      </c>
      <c r="D56" s="4"/>
      <c r="E56" s="4">
        <v>150</v>
      </c>
      <c r="F56" s="4" t="s">
        <v>48</v>
      </c>
      <c r="G56" s="7" t="s">
        <v>26</v>
      </c>
      <c r="H56" s="5" t="s">
        <v>51</v>
      </c>
      <c r="I56" s="39">
        <f t="shared" si="4"/>
        <v>6.98</v>
      </c>
      <c r="J56" s="6">
        <v>6.98</v>
      </c>
    </row>
    <row r="57" spans="1:10" ht="15.75" thickBot="1" x14ac:dyDescent="0.3">
      <c r="A57" s="3">
        <v>1209</v>
      </c>
      <c r="B57" s="4" t="s">
        <v>46</v>
      </c>
      <c r="C57" s="4" t="s">
        <v>47</v>
      </c>
      <c r="D57" s="4"/>
      <c r="E57" s="4">
        <v>12</v>
      </c>
      <c r="F57" s="4" t="s">
        <v>48</v>
      </c>
      <c r="G57" s="53" t="s">
        <v>98</v>
      </c>
      <c r="H57" s="5" t="s">
        <v>49</v>
      </c>
      <c r="I57" s="39">
        <f t="shared" si="4"/>
        <v>86.5</v>
      </c>
      <c r="J57" s="6">
        <v>86.5</v>
      </c>
    </row>
    <row r="58" spans="1:10" ht="15.75" thickBot="1" x14ac:dyDescent="0.3">
      <c r="A58" s="3">
        <v>1640</v>
      </c>
      <c r="B58" s="4" t="s">
        <v>50</v>
      </c>
      <c r="C58" s="4" t="s">
        <v>100</v>
      </c>
      <c r="D58" s="4"/>
      <c r="E58" s="4">
        <v>150</v>
      </c>
      <c r="F58" s="4" t="s">
        <v>48</v>
      </c>
      <c r="G58" s="53" t="s">
        <v>98</v>
      </c>
      <c r="H58" s="5" t="s">
        <v>51</v>
      </c>
      <c r="I58" s="39">
        <f t="shared" si="4"/>
        <v>7.96</v>
      </c>
      <c r="J58" s="6">
        <v>7.96</v>
      </c>
    </row>
    <row r="59" spans="1:10" ht="15.75" thickBot="1" x14ac:dyDescent="0.3">
      <c r="A59" s="3">
        <v>1639</v>
      </c>
      <c r="B59" s="4" t="s">
        <v>50</v>
      </c>
      <c r="C59" s="4" t="s">
        <v>101</v>
      </c>
      <c r="D59" s="4"/>
      <c r="E59" s="4">
        <v>300</v>
      </c>
      <c r="F59" s="4" t="s">
        <v>48</v>
      </c>
      <c r="G59" s="53" t="s">
        <v>98</v>
      </c>
      <c r="H59" s="5" t="s">
        <v>51</v>
      </c>
      <c r="I59" s="39">
        <f t="shared" si="4"/>
        <v>4.28</v>
      </c>
      <c r="J59" s="6">
        <v>4.28</v>
      </c>
    </row>
    <row r="61" spans="1:10" ht="15.75" customHeight="1" x14ac:dyDescent="0.25">
      <c r="A61" s="16"/>
    </row>
    <row r="62" spans="1:10" x14ac:dyDescent="0.25">
      <c r="A62" s="16"/>
    </row>
    <row r="63" spans="1:10" ht="15.75" thickBot="1" x14ac:dyDescent="0.3">
      <c r="A63" s="16"/>
    </row>
    <row r="64" spans="1:10" ht="15.75" customHeight="1" thickBot="1" x14ac:dyDescent="0.3">
      <c r="A64" s="184" t="s">
        <v>52</v>
      </c>
      <c r="B64" s="185"/>
      <c r="C64" s="185"/>
      <c r="D64" s="186"/>
      <c r="E64" s="17"/>
      <c r="F64" s="17"/>
      <c r="G64" s="17"/>
      <c r="H64" s="17"/>
      <c r="I64" s="45"/>
      <c r="J64" s="17"/>
    </row>
    <row r="65" spans="1:10" x14ac:dyDescent="0.25">
      <c r="A65" s="166" t="s">
        <v>2</v>
      </c>
      <c r="B65" s="166" t="s">
        <v>3</v>
      </c>
      <c r="C65" s="166" t="s">
        <v>4</v>
      </c>
      <c r="D65" s="166"/>
      <c r="E65" s="168" t="s">
        <v>53</v>
      </c>
      <c r="F65" s="168" t="s">
        <v>54</v>
      </c>
      <c r="G65" s="168" t="s">
        <v>99</v>
      </c>
      <c r="H65" s="168" t="s">
        <v>6</v>
      </c>
      <c r="I65" s="164" t="s">
        <v>7</v>
      </c>
      <c r="J65" s="18"/>
    </row>
    <row r="66" spans="1:10" ht="15.75" thickBot="1" x14ac:dyDescent="0.3">
      <c r="A66" s="167"/>
      <c r="B66" s="167"/>
      <c r="C66" s="167"/>
      <c r="D66" s="167"/>
      <c r="E66" s="167"/>
      <c r="F66" s="167"/>
      <c r="G66" s="167"/>
      <c r="H66" s="167"/>
      <c r="I66" s="165"/>
      <c r="J66" s="19" t="s">
        <v>7</v>
      </c>
    </row>
    <row r="67" spans="1:10" ht="15.75" thickBot="1" x14ac:dyDescent="0.3">
      <c r="A67" s="20">
        <v>163</v>
      </c>
      <c r="B67" s="21" t="s">
        <v>55</v>
      </c>
      <c r="C67" s="21" t="s">
        <v>56</v>
      </c>
      <c r="D67" s="21" t="s">
        <v>57</v>
      </c>
      <c r="E67" s="21" t="s">
        <v>58</v>
      </c>
      <c r="F67" s="21" t="s">
        <v>75</v>
      </c>
      <c r="G67" s="21" t="s">
        <v>11</v>
      </c>
      <c r="H67" s="54" t="s">
        <v>12</v>
      </c>
      <c r="I67" s="46">
        <f t="shared" ref="I67:I86" si="5">(J67*$J$6)+J67</f>
        <v>4.46</v>
      </c>
      <c r="J67" s="22">
        <v>4.46</v>
      </c>
    </row>
    <row r="68" spans="1:10" ht="15.75" thickBot="1" x14ac:dyDescent="0.3">
      <c r="A68" s="20">
        <v>480</v>
      </c>
      <c r="B68" s="21" t="s">
        <v>55</v>
      </c>
      <c r="C68" s="21" t="s">
        <v>59</v>
      </c>
      <c r="D68" s="21" t="s">
        <v>57</v>
      </c>
      <c r="E68" s="23" t="s">
        <v>58</v>
      </c>
      <c r="F68" s="21" t="s">
        <v>75</v>
      </c>
      <c r="G68" s="21" t="s">
        <v>11</v>
      </c>
      <c r="H68" s="54" t="s">
        <v>12</v>
      </c>
      <c r="I68" s="46">
        <f t="shared" si="5"/>
        <v>5.51</v>
      </c>
      <c r="J68" s="22">
        <v>5.51</v>
      </c>
    </row>
    <row r="69" spans="1:10" ht="15.75" thickBot="1" x14ac:dyDescent="0.3">
      <c r="A69" s="20">
        <v>164</v>
      </c>
      <c r="B69" s="21" t="s">
        <v>55</v>
      </c>
      <c r="C69" s="21" t="s">
        <v>60</v>
      </c>
      <c r="D69" s="21" t="s">
        <v>57</v>
      </c>
      <c r="E69" s="23" t="s">
        <v>58</v>
      </c>
      <c r="F69" s="21" t="s">
        <v>61</v>
      </c>
      <c r="G69" s="21" t="s">
        <v>11</v>
      </c>
      <c r="H69" s="54" t="s">
        <v>12</v>
      </c>
      <c r="I69" s="46">
        <f t="shared" si="5"/>
        <v>6.32</v>
      </c>
      <c r="J69" s="22">
        <v>6.32</v>
      </c>
    </row>
    <row r="70" spans="1:10" ht="15.75" thickBot="1" x14ac:dyDescent="0.3">
      <c r="A70" s="20">
        <v>165</v>
      </c>
      <c r="B70" s="21" t="s">
        <v>55</v>
      </c>
      <c r="C70" s="21" t="s">
        <v>62</v>
      </c>
      <c r="D70" s="21" t="s">
        <v>57</v>
      </c>
      <c r="E70" s="23" t="s">
        <v>58</v>
      </c>
      <c r="F70" s="21" t="s">
        <v>72</v>
      </c>
      <c r="G70" s="21" t="s">
        <v>11</v>
      </c>
      <c r="H70" s="54" t="s">
        <v>12</v>
      </c>
      <c r="I70" s="46">
        <f t="shared" si="5"/>
        <v>8.14</v>
      </c>
      <c r="J70" s="22">
        <v>8.14</v>
      </c>
    </row>
    <row r="71" spans="1:10" ht="15.75" thickBot="1" x14ac:dyDescent="0.3">
      <c r="A71" s="20">
        <v>166</v>
      </c>
      <c r="B71" s="21" t="s">
        <v>55</v>
      </c>
      <c r="C71" s="21" t="s">
        <v>64</v>
      </c>
      <c r="D71" s="21" t="s">
        <v>57</v>
      </c>
      <c r="E71" s="23" t="s">
        <v>58</v>
      </c>
      <c r="F71" s="21" t="s">
        <v>65</v>
      </c>
      <c r="G71" s="21" t="s">
        <v>11</v>
      </c>
      <c r="H71" s="54" t="s">
        <v>12</v>
      </c>
      <c r="I71" s="46">
        <f t="shared" si="5"/>
        <v>12.06</v>
      </c>
      <c r="J71" s="22">
        <v>12.06</v>
      </c>
    </row>
    <row r="72" spans="1:10" ht="15.75" thickBot="1" x14ac:dyDescent="0.3">
      <c r="A72" s="20">
        <v>171</v>
      </c>
      <c r="B72" s="21" t="s">
        <v>55</v>
      </c>
      <c r="C72" s="21" t="s">
        <v>66</v>
      </c>
      <c r="D72" s="21" t="s">
        <v>57</v>
      </c>
      <c r="E72" s="23" t="s">
        <v>58</v>
      </c>
      <c r="F72" s="21" t="s">
        <v>67</v>
      </c>
      <c r="G72" s="21" t="s">
        <v>11</v>
      </c>
      <c r="H72" s="54" t="s">
        <v>12</v>
      </c>
      <c r="I72" s="46">
        <f t="shared" si="5"/>
        <v>6.05</v>
      </c>
      <c r="J72" s="22">
        <v>6.05</v>
      </c>
    </row>
    <row r="73" spans="1:10" ht="15.75" thickBot="1" x14ac:dyDescent="0.3">
      <c r="A73" s="20">
        <v>478</v>
      </c>
      <c r="B73" s="21" t="s">
        <v>55</v>
      </c>
      <c r="C73" s="21" t="s">
        <v>68</v>
      </c>
      <c r="D73" s="21" t="s">
        <v>57</v>
      </c>
      <c r="E73" s="23" t="s">
        <v>58</v>
      </c>
      <c r="F73" s="21" t="s">
        <v>61</v>
      </c>
      <c r="G73" s="21" t="s">
        <v>11</v>
      </c>
      <c r="H73" s="54" t="s">
        <v>12</v>
      </c>
      <c r="I73" s="46">
        <f t="shared" si="5"/>
        <v>7.62</v>
      </c>
      <c r="J73" s="22">
        <v>7.62</v>
      </c>
    </row>
    <row r="74" spans="1:10" ht="15.75" thickBot="1" x14ac:dyDescent="0.3">
      <c r="A74" s="20">
        <v>172</v>
      </c>
      <c r="B74" s="21" t="s">
        <v>55</v>
      </c>
      <c r="C74" s="21" t="s">
        <v>69</v>
      </c>
      <c r="D74" s="21" t="s">
        <v>57</v>
      </c>
      <c r="E74" s="23" t="s">
        <v>58</v>
      </c>
      <c r="F74" s="21" t="s">
        <v>70</v>
      </c>
      <c r="G74" s="21" t="s">
        <v>11</v>
      </c>
      <c r="H74" s="54" t="s">
        <v>12</v>
      </c>
      <c r="I74" s="46">
        <f t="shared" si="5"/>
        <v>8.91</v>
      </c>
      <c r="J74" s="22">
        <v>8.91</v>
      </c>
    </row>
    <row r="75" spans="1:10" ht="15.75" thickBot="1" x14ac:dyDescent="0.3">
      <c r="A75" s="24">
        <v>173</v>
      </c>
      <c r="B75" s="25" t="s">
        <v>55</v>
      </c>
      <c r="C75" s="25" t="s">
        <v>71</v>
      </c>
      <c r="D75" s="25" t="s">
        <v>57</v>
      </c>
      <c r="E75" s="26" t="s">
        <v>58</v>
      </c>
      <c r="F75" s="25" t="s">
        <v>78</v>
      </c>
      <c r="G75" s="25" t="s">
        <v>11</v>
      </c>
      <c r="H75" s="54" t="s">
        <v>12</v>
      </c>
      <c r="I75" s="47">
        <f t="shared" si="5"/>
        <v>11.57</v>
      </c>
      <c r="J75" s="27">
        <v>11.57</v>
      </c>
    </row>
    <row r="76" spans="1:10" ht="15.75" thickBot="1" x14ac:dyDescent="0.3">
      <c r="A76" s="28">
        <v>174</v>
      </c>
      <c r="B76" s="29" t="s">
        <v>55</v>
      </c>
      <c r="C76" s="29" t="s">
        <v>73</v>
      </c>
      <c r="D76" s="29" t="s">
        <v>57</v>
      </c>
      <c r="E76" s="30" t="s">
        <v>58</v>
      </c>
      <c r="F76" s="29" t="s">
        <v>74</v>
      </c>
      <c r="G76" s="29" t="s">
        <v>11</v>
      </c>
      <c r="H76" s="54" t="s">
        <v>12</v>
      </c>
      <c r="I76" s="48">
        <f t="shared" si="5"/>
        <v>16.57</v>
      </c>
      <c r="J76" s="31">
        <v>16.57</v>
      </c>
    </row>
    <row r="77" spans="1:10" ht="15.75" thickBot="1" x14ac:dyDescent="0.3">
      <c r="A77" s="20">
        <v>159</v>
      </c>
      <c r="B77" s="21" t="s">
        <v>55</v>
      </c>
      <c r="C77" s="21" t="s">
        <v>56</v>
      </c>
      <c r="D77" s="21" t="s">
        <v>57</v>
      </c>
      <c r="E77" s="23" t="s">
        <v>58</v>
      </c>
      <c r="F77" s="21" t="s">
        <v>75</v>
      </c>
      <c r="G77" s="21" t="s">
        <v>25</v>
      </c>
      <c r="H77" s="53" t="s">
        <v>98</v>
      </c>
      <c r="I77" s="46">
        <f t="shared" si="5"/>
        <v>5.21</v>
      </c>
      <c r="J77" s="22">
        <v>5.21</v>
      </c>
    </row>
    <row r="78" spans="1:10" ht="15.75" thickBot="1" x14ac:dyDescent="0.3">
      <c r="A78" s="20">
        <v>481</v>
      </c>
      <c r="B78" s="21" t="s">
        <v>55</v>
      </c>
      <c r="C78" s="21" t="s">
        <v>59</v>
      </c>
      <c r="D78" s="21" t="s">
        <v>57</v>
      </c>
      <c r="E78" s="23" t="s">
        <v>58</v>
      </c>
      <c r="F78" s="21" t="s">
        <v>76</v>
      </c>
      <c r="G78" s="21" t="s">
        <v>25</v>
      </c>
      <c r="H78" s="53" t="s">
        <v>98</v>
      </c>
      <c r="I78" s="46">
        <f t="shared" si="5"/>
        <v>6.44</v>
      </c>
      <c r="J78" s="22">
        <v>6.44</v>
      </c>
    </row>
    <row r="79" spans="1:10" ht="15.75" thickBot="1" x14ac:dyDescent="0.3">
      <c r="A79" s="20">
        <v>160</v>
      </c>
      <c r="B79" s="21" t="s">
        <v>55</v>
      </c>
      <c r="C79" s="21" t="s">
        <v>60</v>
      </c>
      <c r="D79" s="21" t="s">
        <v>57</v>
      </c>
      <c r="E79" s="23" t="s">
        <v>58</v>
      </c>
      <c r="F79" s="21" t="s">
        <v>63</v>
      </c>
      <c r="G79" s="21" t="s">
        <v>25</v>
      </c>
      <c r="H79" s="53" t="s">
        <v>98</v>
      </c>
      <c r="I79" s="46">
        <f t="shared" si="5"/>
        <v>7.38</v>
      </c>
      <c r="J79" s="22">
        <v>7.38</v>
      </c>
    </row>
    <row r="80" spans="1:10" ht="15.75" thickBot="1" x14ac:dyDescent="0.3">
      <c r="A80" s="20">
        <v>161</v>
      </c>
      <c r="B80" s="21" t="s">
        <v>55</v>
      </c>
      <c r="C80" s="21" t="s">
        <v>62</v>
      </c>
      <c r="D80" s="21" t="s">
        <v>57</v>
      </c>
      <c r="E80" s="23" t="s">
        <v>58</v>
      </c>
      <c r="F80" s="21" t="s">
        <v>72</v>
      </c>
      <c r="G80" s="21" t="s">
        <v>25</v>
      </c>
      <c r="H80" s="53" t="s">
        <v>98</v>
      </c>
      <c r="I80" s="46">
        <f t="shared" si="5"/>
        <v>9.49</v>
      </c>
      <c r="J80" s="22">
        <v>9.49</v>
      </c>
    </row>
    <row r="81" spans="1:10" ht="15.75" thickBot="1" x14ac:dyDescent="0.3">
      <c r="A81" s="20">
        <v>162</v>
      </c>
      <c r="B81" s="21" t="s">
        <v>55</v>
      </c>
      <c r="C81" s="21" t="s">
        <v>64</v>
      </c>
      <c r="D81" s="21" t="s">
        <v>57</v>
      </c>
      <c r="E81" s="23" t="s">
        <v>58</v>
      </c>
      <c r="F81" s="21" t="s">
        <v>77</v>
      </c>
      <c r="G81" s="21" t="s">
        <v>25</v>
      </c>
      <c r="H81" s="53" t="s">
        <v>98</v>
      </c>
      <c r="I81" s="46">
        <f t="shared" si="5"/>
        <v>14.13</v>
      </c>
      <c r="J81" s="22">
        <v>14.13</v>
      </c>
    </row>
    <row r="82" spans="1:10" ht="15.75" thickBot="1" x14ac:dyDescent="0.3">
      <c r="A82" s="20">
        <v>167</v>
      </c>
      <c r="B82" s="21" t="s">
        <v>55</v>
      </c>
      <c r="C82" s="21" t="s">
        <v>66</v>
      </c>
      <c r="D82" s="21" t="s">
        <v>57</v>
      </c>
      <c r="E82" s="23" t="s">
        <v>58</v>
      </c>
      <c r="F82" s="21" t="s">
        <v>61</v>
      </c>
      <c r="G82" s="21" t="s">
        <v>25</v>
      </c>
      <c r="H82" s="53" t="s">
        <v>98</v>
      </c>
      <c r="I82" s="46">
        <f t="shared" si="5"/>
        <v>7.19</v>
      </c>
      <c r="J82" s="22">
        <v>7.19</v>
      </c>
    </row>
    <row r="83" spans="1:10" ht="15.75" thickBot="1" x14ac:dyDescent="0.3">
      <c r="A83" s="20">
        <v>479</v>
      </c>
      <c r="B83" s="21" t="s">
        <v>55</v>
      </c>
      <c r="C83" s="21" t="s">
        <v>68</v>
      </c>
      <c r="D83" s="21" t="s">
        <v>57</v>
      </c>
      <c r="E83" s="23" t="s">
        <v>58</v>
      </c>
      <c r="F83" s="21" t="s">
        <v>63</v>
      </c>
      <c r="G83" s="21" t="s">
        <v>25</v>
      </c>
      <c r="H83" s="53" t="s">
        <v>98</v>
      </c>
      <c r="I83" s="46">
        <f t="shared" si="5"/>
        <v>8.9</v>
      </c>
      <c r="J83" s="22">
        <v>8.9</v>
      </c>
    </row>
    <row r="84" spans="1:10" ht="15.75" thickBot="1" x14ac:dyDescent="0.3">
      <c r="A84" s="20">
        <v>168</v>
      </c>
      <c r="B84" s="21" t="s">
        <v>55</v>
      </c>
      <c r="C84" s="21" t="s">
        <v>69</v>
      </c>
      <c r="D84" s="21" t="s">
        <v>57</v>
      </c>
      <c r="E84" s="23" t="s">
        <v>58</v>
      </c>
      <c r="F84" s="21" t="s">
        <v>72</v>
      </c>
      <c r="G84" s="21" t="s">
        <v>25</v>
      </c>
      <c r="H84" s="53" t="s">
        <v>98</v>
      </c>
      <c r="I84" s="46">
        <f t="shared" si="5"/>
        <v>10.52</v>
      </c>
      <c r="J84" s="22">
        <v>10.52</v>
      </c>
    </row>
    <row r="85" spans="1:10" ht="15.75" thickBot="1" x14ac:dyDescent="0.3">
      <c r="A85" s="20">
        <v>169</v>
      </c>
      <c r="B85" s="21" t="s">
        <v>55</v>
      </c>
      <c r="C85" s="21" t="s">
        <v>71</v>
      </c>
      <c r="D85" s="21" t="s">
        <v>57</v>
      </c>
      <c r="E85" s="23" t="s">
        <v>58</v>
      </c>
      <c r="F85" s="21" t="s">
        <v>78</v>
      </c>
      <c r="G85" s="21" t="s">
        <v>25</v>
      </c>
      <c r="H85" s="53" t="s">
        <v>98</v>
      </c>
      <c r="I85" s="46">
        <f t="shared" si="5"/>
        <v>13.51</v>
      </c>
      <c r="J85" s="22">
        <v>13.51</v>
      </c>
    </row>
    <row r="86" spans="1:10" ht="15.75" thickBot="1" x14ac:dyDescent="0.3">
      <c r="A86" s="20">
        <v>170</v>
      </c>
      <c r="B86" s="21" t="s">
        <v>55</v>
      </c>
      <c r="C86" s="21" t="s">
        <v>73</v>
      </c>
      <c r="D86" s="21" t="s">
        <v>57</v>
      </c>
      <c r="E86" s="23" t="s">
        <v>58</v>
      </c>
      <c r="F86" s="21" t="s">
        <v>79</v>
      </c>
      <c r="G86" s="21" t="s">
        <v>25</v>
      </c>
      <c r="H86" s="53" t="s">
        <v>98</v>
      </c>
      <c r="I86" s="46">
        <f t="shared" si="5"/>
        <v>19.48</v>
      </c>
      <c r="J86" s="22">
        <v>19.48</v>
      </c>
    </row>
    <row r="87" spans="1:10" x14ac:dyDescent="0.25">
      <c r="A87" s="16"/>
    </row>
    <row r="88" spans="1:10" x14ac:dyDescent="0.25">
      <c r="A88" s="16"/>
    </row>
    <row r="89" spans="1:10" ht="15.75" customHeight="1" x14ac:dyDescent="0.25">
      <c r="A89" s="16"/>
    </row>
    <row r="90" spans="1:10" x14ac:dyDescent="0.25">
      <c r="A90" s="16"/>
    </row>
    <row r="91" spans="1:10" ht="15.75" thickBot="1" x14ac:dyDescent="0.3">
      <c r="A91" s="16"/>
    </row>
    <row r="92" spans="1:10" ht="15.75" customHeight="1" thickBot="1" x14ac:dyDescent="0.3">
      <c r="A92" s="171" t="s">
        <v>80</v>
      </c>
      <c r="B92" s="172"/>
      <c r="C92" s="172"/>
      <c r="D92" s="173"/>
      <c r="E92" s="17"/>
      <c r="F92" s="17"/>
      <c r="G92" s="17"/>
      <c r="H92" s="17"/>
      <c r="I92" s="45"/>
      <c r="J92" s="17"/>
    </row>
    <row r="93" spans="1:10" x14ac:dyDescent="0.25">
      <c r="A93" s="166" t="s">
        <v>2</v>
      </c>
      <c r="B93" s="166" t="s">
        <v>3</v>
      </c>
      <c r="C93" s="166" t="s">
        <v>4</v>
      </c>
      <c r="D93" s="166"/>
      <c r="E93" s="168" t="s">
        <v>53</v>
      </c>
      <c r="F93" s="168" t="s">
        <v>54</v>
      </c>
      <c r="G93" s="168" t="s">
        <v>99</v>
      </c>
      <c r="H93" s="168" t="s">
        <v>6</v>
      </c>
      <c r="I93" s="164" t="s">
        <v>7</v>
      </c>
      <c r="J93" s="18"/>
    </row>
    <row r="94" spans="1:10" ht="15.75" thickBot="1" x14ac:dyDescent="0.3">
      <c r="A94" s="167"/>
      <c r="B94" s="167"/>
      <c r="C94" s="167"/>
      <c r="D94" s="167"/>
      <c r="E94" s="167"/>
      <c r="F94" s="167"/>
      <c r="G94" s="167"/>
      <c r="H94" s="167"/>
      <c r="I94" s="165"/>
      <c r="J94" s="19" t="s">
        <v>7</v>
      </c>
    </row>
    <row r="95" spans="1:10" ht="15.75" thickBot="1" x14ac:dyDescent="0.3">
      <c r="A95" s="20">
        <v>414</v>
      </c>
      <c r="B95" s="21" t="s">
        <v>55</v>
      </c>
      <c r="C95" s="21" t="s">
        <v>56</v>
      </c>
      <c r="D95" s="21" t="s">
        <v>57</v>
      </c>
      <c r="E95" s="21" t="s">
        <v>81</v>
      </c>
      <c r="F95" s="21" t="s">
        <v>75</v>
      </c>
      <c r="G95" s="21" t="s">
        <v>11</v>
      </c>
      <c r="H95" s="54" t="s">
        <v>12</v>
      </c>
      <c r="I95" s="46">
        <f t="shared" ref="I95:I114" si="6">(J95*$J$6)+J95</f>
        <v>4.32</v>
      </c>
      <c r="J95" s="22">
        <v>4.32</v>
      </c>
    </row>
    <row r="96" spans="1:10" ht="15.75" thickBot="1" x14ac:dyDescent="0.3">
      <c r="A96" s="20">
        <v>476</v>
      </c>
      <c r="B96" s="21" t="s">
        <v>55</v>
      </c>
      <c r="C96" s="21" t="s">
        <v>59</v>
      </c>
      <c r="D96" s="21" t="s">
        <v>57</v>
      </c>
      <c r="E96" s="23" t="s">
        <v>81</v>
      </c>
      <c r="F96" s="21" t="s">
        <v>103</v>
      </c>
      <c r="G96" s="21" t="s">
        <v>11</v>
      </c>
      <c r="H96" s="54" t="s">
        <v>12</v>
      </c>
      <c r="I96" s="46">
        <f t="shared" si="6"/>
        <v>5.34</v>
      </c>
      <c r="J96" s="22">
        <v>5.34</v>
      </c>
    </row>
    <row r="97" spans="1:10" ht="15.75" thickBot="1" x14ac:dyDescent="0.3">
      <c r="A97" s="20">
        <v>419</v>
      </c>
      <c r="B97" s="21" t="s">
        <v>55</v>
      </c>
      <c r="C97" s="21" t="s">
        <v>60</v>
      </c>
      <c r="D97" s="21" t="s">
        <v>57</v>
      </c>
      <c r="E97" s="23" t="s">
        <v>81</v>
      </c>
      <c r="F97" s="21" t="s">
        <v>72</v>
      </c>
      <c r="G97" s="21" t="s">
        <v>11</v>
      </c>
      <c r="H97" s="54" t="s">
        <v>12</v>
      </c>
      <c r="I97" s="46">
        <f t="shared" si="6"/>
        <v>6.15</v>
      </c>
      <c r="J97" s="22">
        <v>6.15</v>
      </c>
    </row>
    <row r="98" spans="1:10" ht="15.75" thickBot="1" x14ac:dyDescent="0.3">
      <c r="A98" s="20">
        <v>423</v>
      </c>
      <c r="B98" s="21" t="s">
        <v>55</v>
      </c>
      <c r="C98" s="21" t="s">
        <v>62</v>
      </c>
      <c r="D98" s="21" t="s">
        <v>57</v>
      </c>
      <c r="E98" s="23" t="s">
        <v>81</v>
      </c>
      <c r="F98" s="21" t="s">
        <v>82</v>
      </c>
      <c r="G98" s="21" t="s">
        <v>11</v>
      </c>
      <c r="H98" s="54" t="s">
        <v>12</v>
      </c>
      <c r="I98" s="46">
        <f t="shared" si="6"/>
        <v>7.9</v>
      </c>
      <c r="J98" s="22">
        <v>7.9</v>
      </c>
    </row>
    <row r="99" spans="1:10" ht="15.75" thickBot="1" x14ac:dyDescent="0.3">
      <c r="A99" s="20">
        <v>427</v>
      </c>
      <c r="B99" s="21" t="s">
        <v>55</v>
      </c>
      <c r="C99" s="21" t="s">
        <v>64</v>
      </c>
      <c r="D99" s="21" t="s">
        <v>57</v>
      </c>
      <c r="E99" s="23" t="s">
        <v>81</v>
      </c>
      <c r="F99" s="21" t="s">
        <v>83</v>
      </c>
      <c r="G99" s="21" t="s">
        <v>11</v>
      </c>
      <c r="H99" s="54" t="s">
        <v>12</v>
      </c>
      <c r="I99" s="46">
        <f t="shared" si="6"/>
        <v>11.7</v>
      </c>
      <c r="J99" s="22">
        <v>11.7</v>
      </c>
    </row>
    <row r="100" spans="1:10" ht="15.75" thickBot="1" x14ac:dyDescent="0.3">
      <c r="A100" s="20">
        <v>417</v>
      </c>
      <c r="B100" s="21" t="s">
        <v>55</v>
      </c>
      <c r="C100" s="21" t="s">
        <v>66</v>
      </c>
      <c r="D100" s="21" t="s">
        <v>57</v>
      </c>
      <c r="E100" s="23" t="s">
        <v>81</v>
      </c>
      <c r="F100" s="21" t="s">
        <v>84</v>
      </c>
      <c r="G100" s="21" t="s">
        <v>11</v>
      </c>
      <c r="H100" s="54" t="s">
        <v>12</v>
      </c>
      <c r="I100" s="46">
        <f t="shared" si="6"/>
        <v>5.85</v>
      </c>
      <c r="J100" s="22">
        <v>5.85</v>
      </c>
    </row>
    <row r="101" spans="1:10" ht="15.75" thickBot="1" x14ac:dyDescent="0.3">
      <c r="A101" s="20">
        <v>474</v>
      </c>
      <c r="B101" s="21" t="s">
        <v>55</v>
      </c>
      <c r="C101" s="21" t="s">
        <v>68</v>
      </c>
      <c r="D101" s="21" t="s">
        <v>57</v>
      </c>
      <c r="E101" s="23" t="s">
        <v>81</v>
      </c>
      <c r="F101" s="21" t="s">
        <v>72</v>
      </c>
      <c r="G101" s="21" t="s">
        <v>11</v>
      </c>
      <c r="H101" s="54" t="s">
        <v>12</v>
      </c>
      <c r="I101" s="46">
        <f t="shared" si="6"/>
        <v>7.39</v>
      </c>
      <c r="J101" s="22">
        <v>7.39</v>
      </c>
    </row>
    <row r="102" spans="1:10" ht="15.75" thickBot="1" x14ac:dyDescent="0.3">
      <c r="A102" s="20">
        <v>421</v>
      </c>
      <c r="B102" s="21" t="s">
        <v>55</v>
      </c>
      <c r="C102" s="21" t="s">
        <v>69</v>
      </c>
      <c r="D102" s="21" t="s">
        <v>57</v>
      </c>
      <c r="E102" s="23" t="s">
        <v>81</v>
      </c>
      <c r="F102" s="21" t="s">
        <v>78</v>
      </c>
      <c r="G102" s="21" t="s">
        <v>11</v>
      </c>
      <c r="H102" s="54" t="s">
        <v>12</v>
      </c>
      <c r="I102" s="46">
        <f t="shared" si="6"/>
        <v>8.65</v>
      </c>
      <c r="J102" s="22">
        <v>8.65</v>
      </c>
    </row>
    <row r="103" spans="1:10" ht="15.75" thickBot="1" x14ac:dyDescent="0.3">
      <c r="A103" s="24">
        <v>425</v>
      </c>
      <c r="B103" s="25" t="s">
        <v>55</v>
      </c>
      <c r="C103" s="25" t="s">
        <v>71</v>
      </c>
      <c r="D103" s="25" t="s">
        <v>57</v>
      </c>
      <c r="E103" s="26" t="s">
        <v>81</v>
      </c>
      <c r="F103" s="25" t="s">
        <v>85</v>
      </c>
      <c r="G103" s="25" t="s">
        <v>11</v>
      </c>
      <c r="H103" s="54" t="s">
        <v>12</v>
      </c>
      <c r="I103" s="47">
        <f t="shared" si="6"/>
        <v>11.22</v>
      </c>
      <c r="J103" s="27">
        <v>11.22</v>
      </c>
    </row>
    <row r="104" spans="1:10" ht="15.75" thickBot="1" x14ac:dyDescent="0.3">
      <c r="A104" s="28">
        <v>429</v>
      </c>
      <c r="B104" s="29" t="s">
        <v>55</v>
      </c>
      <c r="C104" s="29" t="s">
        <v>73</v>
      </c>
      <c r="D104" s="29" t="s">
        <v>57</v>
      </c>
      <c r="E104" s="30" t="s">
        <v>81</v>
      </c>
      <c r="F104" s="29" t="s">
        <v>86</v>
      </c>
      <c r="G104" s="29" t="s">
        <v>11</v>
      </c>
      <c r="H104" s="54" t="s">
        <v>12</v>
      </c>
      <c r="I104" s="48">
        <f t="shared" si="6"/>
        <v>16.059999999999999</v>
      </c>
      <c r="J104" s="31">
        <v>16.059999999999999</v>
      </c>
    </row>
    <row r="105" spans="1:10" ht="15.75" thickBot="1" x14ac:dyDescent="0.3">
      <c r="A105" s="20">
        <v>416</v>
      </c>
      <c r="B105" s="21" t="s">
        <v>55</v>
      </c>
      <c r="C105" s="21" t="s">
        <v>56</v>
      </c>
      <c r="D105" s="21" t="s">
        <v>57</v>
      </c>
      <c r="E105" s="23" t="s">
        <v>81</v>
      </c>
      <c r="F105" s="21" t="s">
        <v>67</v>
      </c>
      <c r="G105" s="21" t="s">
        <v>25</v>
      </c>
      <c r="H105" s="53" t="s">
        <v>98</v>
      </c>
      <c r="I105" s="46">
        <f t="shared" si="6"/>
        <v>5.05</v>
      </c>
      <c r="J105" s="22">
        <v>5.05</v>
      </c>
    </row>
    <row r="106" spans="1:10" ht="15.75" thickBot="1" x14ac:dyDescent="0.3">
      <c r="A106" s="20">
        <v>477</v>
      </c>
      <c r="B106" s="21" t="s">
        <v>55</v>
      </c>
      <c r="C106" s="21" t="s">
        <v>59</v>
      </c>
      <c r="D106" s="21" t="s">
        <v>57</v>
      </c>
      <c r="E106" s="23" t="s">
        <v>81</v>
      </c>
      <c r="F106" s="21" t="s">
        <v>61</v>
      </c>
      <c r="G106" s="21" t="s">
        <v>25</v>
      </c>
      <c r="H106" s="53" t="s">
        <v>98</v>
      </c>
      <c r="I106" s="46">
        <f t="shared" si="6"/>
        <v>6.25</v>
      </c>
      <c r="J106" s="22">
        <v>6.25</v>
      </c>
    </row>
    <row r="107" spans="1:10" ht="15.75" thickBot="1" x14ac:dyDescent="0.3">
      <c r="A107" s="20">
        <v>420</v>
      </c>
      <c r="B107" s="21" t="s">
        <v>55</v>
      </c>
      <c r="C107" s="21" t="s">
        <v>60</v>
      </c>
      <c r="D107" s="21" t="s">
        <v>57</v>
      </c>
      <c r="E107" s="23" t="s">
        <v>81</v>
      </c>
      <c r="F107" s="21" t="s">
        <v>87</v>
      </c>
      <c r="G107" s="21" t="s">
        <v>25</v>
      </c>
      <c r="H107" s="53" t="s">
        <v>98</v>
      </c>
      <c r="I107" s="46">
        <f t="shared" si="6"/>
        <v>7.1</v>
      </c>
      <c r="J107" s="22">
        <v>7.1</v>
      </c>
    </row>
    <row r="108" spans="1:10" ht="15.75" thickBot="1" x14ac:dyDescent="0.3">
      <c r="A108" s="20">
        <v>424</v>
      </c>
      <c r="B108" s="21" t="s">
        <v>55</v>
      </c>
      <c r="C108" s="21" t="s">
        <v>62</v>
      </c>
      <c r="D108" s="21" t="s">
        <v>57</v>
      </c>
      <c r="E108" s="23" t="s">
        <v>81</v>
      </c>
      <c r="F108" s="21" t="s">
        <v>88</v>
      </c>
      <c r="G108" s="21" t="s">
        <v>25</v>
      </c>
      <c r="H108" s="53" t="s">
        <v>98</v>
      </c>
      <c r="I108" s="46">
        <f t="shared" si="6"/>
        <v>9.1999999999999993</v>
      </c>
      <c r="J108" s="22">
        <v>9.1999999999999993</v>
      </c>
    </row>
    <row r="109" spans="1:10" ht="15.75" thickBot="1" x14ac:dyDescent="0.3">
      <c r="A109" s="20">
        <v>428</v>
      </c>
      <c r="B109" s="21" t="s">
        <v>55</v>
      </c>
      <c r="C109" s="21" t="s">
        <v>64</v>
      </c>
      <c r="D109" s="21" t="s">
        <v>57</v>
      </c>
      <c r="E109" s="23" t="s">
        <v>81</v>
      </c>
      <c r="F109" s="21" t="s">
        <v>89</v>
      </c>
      <c r="G109" s="21" t="s">
        <v>25</v>
      </c>
      <c r="H109" s="53" t="s">
        <v>98</v>
      </c>
      <c r="I109" s="46">
        <f t="shared" si="6"/>
        <v>13.72</v>
      </c>
      <c r="J109" s="22">
        <v>13.72</v>
      </c>
    </row>
    <row r="110" spans="1:10" ht="15.75" thickBot="1" x14ac:dyDescent="0.3">
      <c r="A110" s="20">
        <v>418</v>
      </c>
      <c r="B110" s="21" t="s">
        <v>55</v>
      </c>
      <c r="C110" s="21" t="s">
        <v>66</v>
      </c>
      <c r="D110" s="21" t="s">
        <v>57</v>
      </c>
      <c r="E110" s="23" t="s">
        <v>81</v>
      </c>
      <c r="F110" s="21" t="s">
        <v>90</v>
      </c>
      <c r="G110" s="21" t="s">
        <v>25</v>
      </c>
      <c r="H110" s="53" t="s">
        <v>98</v>
      </c>
      <c r="I110" s="46">
        <f t="shared" si="6"/>
        <v>7</v>
      </c>
      <c r="J110" s="22">
        <v>7</v>
      </c>
    </row>
    <row r="111" spans="1:10" ht="15.75" thickBot="1" x14ac:dyDescent="0.3">
      <c r="A111" s="20">
        <v>475</v>
      </c>
      <c r="B111" s="21" t="s">
        <v>55</v>
      </c>
      <c r="C111" s="21" t="s">
        <v>68</v>
      </c>
      <c r="D111" s="21" t="s">
        <v>57</v>
      </c>
      <c r="E111" s="23" t="s">
        <v>81</v>
      </c>
      <c r="F111" s="21" t="s">
        <v>78</v>
      </c>
      <c r="G111" s="21" t="s">
        <v>25</v>
      </c>
      <c r="H111" s="53" t="s">
        <v>98</v>
      </c>
      <c r="I111" s="46">
        <f t="shared" si="6"/>
        <v>8.6199999999999992</v>
      </c>
      <c r="J111" s="22">
        <v>8.6199999999999992</v>
      </c>
    </row>
    <row r="112" spans="1:10" ht="15.75" thickBot="1" x14ac:dyDescent="0.3">
      <c r="A112" s="20">
        <v>422</v>
      </c>
      <c r="B112" s="21" t="s">
        <v>55</v>
      </c>
      <c r="C112" s="21" t="s">
        <v>69</v>
      </c>
      <c r="D112" s="21" t="s">
        <v>57</v>
      </c>
      <c r="E112" s="23" t="s">
        <v>81</v>
      </c>
      <c r="F112" s="21" t="s">
        <v>88</v>
      </c>
      <c r="G112" s="21" t="s">
        <v>25</v>
      </c>
      <c r="H112" s="53" t="s">
        <v>98</v>
      </c>
      <c r="I112" s="46">
        <f t="shared" si="6"/>
        <v>10.19</v>
      </c>
      <c r="J112" s="22">
        <v>10.19</v>
      </c>
    </row>
    <row r="113" spans="1:10" ht="15.75" thickBot="1" x14ac:dyDescent="0.3">
      <c r="A113" s="20">
        <v>426</v>
      </c>
      <c r="B113" s="21" t="s">
        <v>55</v>
      </c>
      <c r="C113" s="21" t="s">
        <v>71</v>
      </c>
      <c r="D113" s="21" t="s">
        <v>57</v>
      </c>
      <c r="E113" s="23" t="s">
        <v>81</v>
      </c>
      <c r="F113" s="21" t="s">
        <v>91</v>
      </c>
      <c r="G113" s="21" t="s">
        <v>25</v>
      </c>
      <c r="H113" s="53" t="s">
        <v>98</v>
      </c>
      <c r="I113" s="46">
        <f t="shared" si="6"/>
        <v>13.11</v>
      </c>
      <c r="J113" s="22">
        <v>13.11</v>
      </c>
    </row>
    <row r="114" spans="1:10" ht="15.75" thickBot="1" x14ac:dyDescent="0.3">
      <c r="A114" s="20">
        <v>430</v>
      </c>
      <c r="B114" s="21" t="s">
        <v>55</v>
      </c>
      <c r="C114" s="21" t="s">
        <v>73</v>
      </c>
      <c r="D114" s="21" t="s">
        <v>57</v>
      </c>
      <c r="E114" s="23" t="s">
        <v>81</v>
      </c>
      <c r="F114" s="21" t="s">
        <v>92</v>
      </c>
      <c r="G114" s="21" t="s">
        <v>25</v>
      </c>
      <c r="H114" s="53" t="s">
        <v>98</v>
      </c>
      <c r="I114" s="46">
        <f t="shared" si="6"/>
        <v>18.91</v>
      </c>
      <c r="J114" s="22">
        <v>18.91</v>
      </c>
    </row>
    <row r="115" spans="1:10" x14ac:dyDescent="0.25">
      <c r="A115" s="32"/>
    </row>
    <row r="116" spans="1:10" x14ac:dyDescent="0.25">
      <c r="A116" s="205" t="s">
        <v>93</v>
      </c>
      <c r="B116" s="205"/>
    </row>
    <row r="117" spans="1:10" x14ac:dyDescent="0.25">
      <c r="A117" s="35" t="s">
        <v>94</v>
      </c>
      <c r="G117" s="206" t="s">
        <v>112</v>
      </c>
      <c r="H117" s="206"/>
      <c r="I117" s="206"/>
    </row>
  </sheetData>
  <mergeCells count="43">
    <mergeCell ref="A50:C50"/>
    <mergeCell ref="E50:I50"/>
    <mergeCell ref="G93:G94"/>
    <mergeCell ref="A116:B116"/>
    <mergeCell ref="G117:I117"/>
    <mergeCell ref="B93:B94"/>
    <mergeCell ref="C93:C94"/>
    <mergeCell ref="D93:D94"/>
    <mergeCell ref="E93:E94"/>
    <mergeCell ref="F93:F94"/>
    <mergeCell ref="G65:G66"/>
    <mergeCell ref="B65:B66"/>
    <mergeCell ref="C65:C66"/>
    <mergeCell ref="D65:D66"/>
    <mergeCell ref="E65:E66"/>
    <mergeCell ref="F65:F66"/>
    <mergeCell ref="A35:I35"/>
    <mergeCell ref="F6:F7"/>
    <mergeCell ref="A36:I36"/>
    <mergeCell ref="A37:I38"/>
    <mergeCell ref="A39:C39"/>
    <mergeCell ref="J6:J7"/>
    <mergeCell ref="A92:D92"/>
    <mergeCell ref="A6:A7"/>
    <mergeCell ref="G6:G7"/>
    <mergeCell ref="A1:I3"/>
    <mergeCell ref="A5:C5"/>
    <mergeCell ref="B6:B7"/>
    <mergeCell ref="C6:C7"/>
    <mergeCell ref="D6:D7"/>
    <mergeCell ref="E6:E7"/>
    <mergeCell ref="A64:D64"/>
    <mergeCell ref="H6:H7"/>
    <mergeCell ref="I6:I7"/>
    <mergeCell ref="A20:I20"/>
    <mergeCell ref="A21:C21"/>
    <mergeCell ref="D21:I21"/>
    <mergeCell ref="I65:I66"/>
    <mergeCell ref="A93:A94"/>
    <mergeCell ref="H93:H94"/>
    <mergeCell ref="I93:I94"/>
    <mergeCell ref="A65:A66"/>
    <mergeCell ref="H65:H66"/>
  </mergeCells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selection activeCell="J1" sqref="J1:J1048576"/>
    </sheetView>
  </sheetViews>
  <sheetFormatPr defaultRowHeight="15" x14ac:dyDescent="0.25"/>
  <cols>
    <col min="1" max="1" width="8.5703125" bestFit="1" customWidth="1"/>
    <col min="2" max="2" width="32.140625" bestFit="1" customWidth="1"/>
    <col min="3" max="3" width="20" bestFit="1" customWidth="1"/>
    <col min="4" max="4" width="6.5703125" bestFit="1" customWidth="1"/>
    <col min="6" max="6" width="17.7109375" bestFit="1" customWidth="1"/>
    <col min="7" max="7" width="9" bestFit="1" customWidth="1"/>
    <col min="8" max="8" width="8.140625" bestFit="1" customWidth="1"/>
    <col min="9" max="9" width="9.140625" bestFit="1" customWidth="1"/>
    <col min="10" max="10" width="8.28515625" hidden="1" customWidth="1"/>
  </cols>
  <sheetData>
    <row r="1" spans="1:10" ht="15" customHeight="1" x14ac:dyDescent="0.25">
      <c r="A1" s="176" t="s">
        <v>0</v>
      </c>
      <c r="B1" s="176"/>
      <c r="C1" s="176"/>
      <c r="D1" s="176"/>
      <c r="E1" s="176"/>
      <c r="F1" s="176"/>
      <c r="G1" s="176"/>
      <c r="H1" s="176"/>
      <c r="I1" s="176"/>
    </row>
    <row r="2" spans="1:10" ht="15" customHeight="1" x14ac:dyDescent="0.25">
      <c r="A2" s="176"/>
      <c r="B2" s="176"/>
      <c r="C2" s="176"/>
      <c r="D2" s="176"/>
      <c r="E2" s="176"/>
      <c r="F2" s="176"/>
      <c r="G2" s="176"/>
      <c r="H2" s="176"/>
      <c r="I2" s="176"/>
    </row>
    <row r="3" spans="1:10" ht="45" customHeight="1" x14ac:dyDescent="0.25">
      <c r="A3" s="176"/>
      <c r="B3" s="176"/>
      <c r="C3" s="176"/>
      <c r="D3" s="176"/>
      <c r="E3" s="176"/>
      <c r="F3" s="176"/>
      <c r="G3" s="176"/>
      <c r="H3" s="176"/>
      <c r="I3" s="176"/>
    </row>
    <row r="4" spans="1:10" ht="15.75" customHeight="1" thickBot="1" x14ac:dyDescent="0.3">
      <c r="A4" s="56"/>
      <c r="B4" s="56"/>
      <c r="C4" s="56"/>
      <c r="D4" s="56"/>
      <c r="E4" s="56"/>
      <c r="F4" s="56"/>
      <c r="G4" s="56"/>
      <c r="H4" s="56"/>
      <c r="I4" s="56"/>
    </row>
    <row r="5" spans="1:10" ht="15.75" thickBot="1" x14ac:dyDescent="0.3">
      <c r="A5" s="177" t="s">
        <v>1</v>
      </c>
      <c r="B5" s="178"/>
      <c r="C5" s="179"/>
      <c r="D5" s="1"/>
      <c r="E5" s="1"/>
      <c r="F5" s="1"/>
      <c r="G5" s="2"/>
      <c r="H5" s="2"/>
      <c r="I5" s="38"/>
      <c r="J5" s="1"/>
    </row>
    <row r="6" spans="1:10" x14ac:dyDescent="0.25">
      <c r="A6" s="174" t="s">
        <v>2</v>
      </c>
      <c r="B6" s="180" t="s">
        <v>3</v>
      </c>
      <c r="C6" s="180" t="s">
        <v>4</v>
      </c>
      <c r="D6" s="182"/>
      <c r="E6" s="180" t="s">
        <v>5</v>
      </c>
      <c r="F6" s="180" t="s">
        <v>99</v>
      </c>
      <c r="G6" s="174" t="s">
        <v>6</v>
      </c>
      <c r="H6" s="187" t="s">
        <v>104</v>
      </c>
      <c r="I6" s="189" t="s">
        <v>7</v>
      </c>
      <c r="J6" s="169">
        <v>0.06</v>
      </c>
    </row>
    <row r="7" spans="1:10" ht="15.75" thickBot="1" x14ac:dyDescent="0.3">
      <c r="A7" s="175"/>
      <c r="B7" s="181"/>
      <c r="C7" s="181"/>
      <c r="D7" s="183"/>
      <c r="E7" s="181"/>
      <c r="F7" s="181"/>
      <c r="G7" s="175"/>
      <c r="H7" s="188"/>
      <c r="I7" s="190"/>
      <c r="J7" s="170"/>
    </row>
    <row r="8" spans="1:10" ht="15.75" thickBot="1" x14ac:dyDescent="0.3">
      <c r="A8" s="3">
        <v>8</v>
      </c>
      <c r="B8" s="4" t="s">
        <v>8</v>
      </c>
      <c r="C8" s="4" t="s">
        <v>9</v>
      </c>
      <c r="D8" s="4" t="s">
        <v>10</v>
      </c>
      <c r="E8" s="4">
        <v>72</v>
      </c>
      <c r="F8" s="4" t="s">
        <v>11</v>
      </c>
      <c r="G8" s="51" t="s">
        <v>12</v>
      </c>
      <c r="H8" s="5" t="s">
        <v>13</v>
      </c>
      <c r="I8" s="39">
        <f>(J8*$J$6)+J8</f>
        <v>7.4093999999999998</v>
      </c>
      <c r="J8" s="6">
        <v>6.99</v>
      </c>
    </row>
    <row r="9" spans="1:10" ht="15.75" thickBot="1" x14ac:dyDescent="0.3">
      <c r="A9" s="3">
        <v>310</v>
      </c>
      <c r="B9" s="4" t="s">
        <v>8</v>
      </c>
      <c r="C9" s="4" t="s">
        <v>14</v>
      </c>
      <c r="D9" s="4" t="s">
        <v>15</v>
      </c>
      <c r="E9" s="4">
        <v>60</v>
      </c>
      <c r="F9" s="4" t="s">
        <v>11</v>
      </c>
      <c r="G9" s="51" t="s">
        <v>12</v>
      </c>
      <c r="H9" s="5" t="s">
        <v>16</v>
      </c>
      <c r="I9" s="39">
        <f t="shared" ref="I9:I19" si="0">(J9*$J$6)+J9</f>
        <v>10.324400000000001</v>
      </c>
      <c r="J9" s="6">
        <v>9.74</v>
      </c>
    </row>
    <row r="10" spans="1:10" ht="15.75" thickBot="1" x14ac:dyDescent="0.3">
      <c r="A10" s="3">
        <v>326</v>
      </c>
      <c r="B10" s="4" t="s">
        <v>8</v>
      </c>
      <c r="C10" s="4" t="s">
        <v>17</v>
      </c>
      <c r="D10" s="4" t="s">
        <v>18</v>
      </c>
      <c r="E10" s="4">
        <v>50</v>
      </c>
      <c r="F10" s="4" t="s">
        <v>11</v>
      </c>
      <c r="G10" s="51" t="s">
        <v>12</v>
      </c>
      <c r="H10" s="5" t="s">
        <v>19</v>
      </c>
      <c r="I10" s="39">
        <f t="shared" si="0"/>
        <v>12.561</v>
      </c>
      <c r="J10" s="6">
        <v>11.85</v>
      </c>
    </row>
    <row r="11" spans="1:10" ht="15.75" thickBot="1" x14ac:dyDescent="0.3">
      <c r="A11" s="3">
        <v>13</v>
      </c>
      <c r="B11" s="4" t="s">
        <v>8</v>
      </c>
      <c r="C11" s="4" t="s">
        <v>17</v>
      </c>
      <c r="D11" s="4" t="s">
        <v>10</v>
      </c>
      <c r="E11" s="4">
        <v>50</v>
      </c>
      <c r="F11" s="4" t="s">
        <v>20</v>
      </c>
      <c r="G11" s="51" t="s">
        <v>12</v>
      </c>
      <c r="H11" s="5" t="s">
        <v>19</v>
      </c>
      <c r="I11" s="39">
        <f t="shared" si="0"/>
        <v>11.532800000000002</v>
      </c>
      <c r="J11" s="6">
        <v>10.88</v>
      </c>
    </row>
    <row r="12" spans="1:10" ht="15.75" thickBot="1" x14ac:dyDescent="0.3">
      <c r="A12" s="3">
        <v>313</v>
      </c>
      <c r="B12" s="4" t="s">
        <v>8</v>
      </c>
      <c r="C12" s="4" t="s">
        <v>21</v>
      </c>
      <c r="D12" s="4" t="s">
        <v>15</v>
      </c>
      <c r="E12" s="4">
        <v>50</v>
      </c>
      <c r="F12" s="4" t="s">
        <v>20</v>
      </c>
      <c r="G12" s="51" t="s">
        <v>12</v>
      </c>
      <c r="H12" s="5" t="s">
        <v>22</v>
      </c>
      <c r="I12" s="39">
        <f t="shared" si="0"/>
        <v>12.6988</v>
      </c>
      <c r="J12" s="6">
        <v>11.98</v>
      </c>
    </row>
    <row r="13" spans="1:10" ht="15.75" thickBot="1" x14ac:dyDescent="0.3">
      <c r="A13" s="3">
        <v>329</v>
      </c>
      <c r="B13" s="4" t="s">
        <v>8</v>
      </c>
      <c r="C13" s="4" t="s">
        <v>23</v>
      </c>
      <c r="D13" s="4" t="s">
        <v>18</v>
      </c>
      <c r="E13" s="4">
        <v>50</v>
      </c>
      <c r="F13" s="4" t="s">
        <v>20</v>
      </c>
      <c r="G13" s="51" t="s">
        <v>12</v>
      </c>
      <c r="H13" s="5" t="s">
        <v>24</v>
      </c>
      <c r="I13" s="39">
        <f t="shared" si="0"/>
        <v>15.0732</v>
      </c>
      <c r="J13" s="6">
        <v>14.22</v>
      </c>
    </row>
    <row r="14" spans="1:10" ht="15.75" thickBot="1" x14ac:dyDescent="0.3">
      <c r="A14" s="3">
        <v>51</v>
      </c>
      <c r="B14" s="4" t="s">
        <v>8</v>
      </c>
      <c r="C14" s="4" t="s">
        <v>107</v>
      </c>
      <c r="D14" s="4" t="s">
        <v>10</v>
      </c>
      <c r="E14" s="4">
        <v>40</v>
      </c>
      <c r="F14" s="4" t="s">
        <v>25</v>
      </c>
      <c r="G14" s="7" t="s">
        <v>26</v>
      </c>
      <c r="H14" s="5" t="s">
        <v>27</v>
      </c>
      <c r="I14" s="39">
        <f t="shared" si="0"/>
        <v>15.3276</v>
      </c>
      <c r="J14" s="6">
        <v>14.46</v>
      </c>
    </row>
    <row r="15" spans="1:10" ht="15.75" thickBot="1" x14ac:dyDescent="0.3">
      <c r="A15" s="3">
        <v>339</v>
      </c>
      <c r="B15" s="4" t="s">
        <v>8</v>
      </c>
      <c r="C15" s="4" t="s">
        <v>107</v>
      </c>
      <c r="D15" s="4" t="s">
        <v>15</v>
      </c>
      <c r="E15" s="4">
        <v>32</v>
      </c>
      <c r="F15" s="4" t="s">
        <v>25</v>
      </c>
      <c r="G15" s="7" t="s">
        <v>26</v>
      </c>
      <c r="H15" s="5" t="s">
        <v>27</v>
      </c>
      <c r="I15" s="39">
        <f t="shared" si="0"/>
        <v>17.5748</v>
      </c>
      <c r="J15" s="6">
        <v>16.579999999999998</v>
      </c>
    </row>
    <row r="16" spans="1:10" ht="15.75" thickBot="1" x14ac:dyDescent="0.3">
      <c r="A16" s="3">
        <v>349</v>
      </c>
      <c r="B16" s="4" t="s">
        <v>8</v>
      </c>
      <c r="C16" s="4" t="s">
        <v>107</v>
      </c>
      <c r="D16" s="4" t="s">
        <v>18</v>
      </c>
      <c r="E16" s="4">
        <v>32</v>
      </c>
      <c r="F16" s="4" t="s">
        <v>25</v>
      </c>
      <c r="G16" s="7" t="s">
        <v>26</v>
      </c>
      <c r="H16" s="5" t="s">
        <v>27</v>
      </c>
      <c r="I16" s="39">
        <f t="shared" si="0"/>
        <v>20.373199999999997</v>
      </c>
      <c r="J16" s="6">
        <v>19.22</v>
      </c>
    </row>
    <row r="17" spans="1:10" ht="15.75" customHeight="1" thickBot="1" x14ac:dyDescent="0.3">
      <c r="A17" s="3">
        <v>1957</v>
      </c>
      <c r="B17" s="4" t="s">
        <v>8</v>
      </c>
      <c r="C17" s="4" t="s">
        <v>106</v>
      </c>
      <c r="D17" s="4" t="s">
        <v>10</v>
      </c>
      <c r="E17" s="4">
        <v>40</v>
      </c>
      <c r="F17" s="4" t="s">
        <v>25</v>
      </c>
      <c r="G17" s="52" t="s">
        <v>105</v>
      </c>
      <c r="H17" s="5" t="s">
        <v>27</v>
      </c>
      <c r="I17" s="39">
        <f t="shared" si="0"/>
        <v>29.552799999999998</v>
      </c>
      <c r="J17" s="6">
        <v>27.88</v>
      </c>
    </row>
    <row r="18" spans="1:10" ht="15.75" thickBot="1" x14ac:dyDescent="0.3">
      <c r="A18" s="3">
        <v>1958</v>
      </c>
      <c r="B18" s="4" t="s">
        <v>8</v>
      </c>
      <c r="C18" s="4" t="s">
        <v>106</v>
      </c>
      <c r="D18" s="4" t="s">
        <v>15</v>
      </c>
      <c r="E18" s="4">
        <v>32</v>
      </c>
      <c r="F18" s="4" t="s">
        <v>25</v>
      </c>
      <c r="G18" s="52" t="s">
        <v>105</v>
      </c>
      <c r="H18" s="5" t="s">
        <v>27</v>
      </c>
      <c r="I18" s="39">
        <f t="shared" si="0"/>
        <v>30.3902</v>
      </c>
      <c r="J18" s="6">
        <v>28.67</v>
      </c>
    </row>
    <row r="19" spans="1:10" ht="15.75" thickBot="1" x14ac:dyDescent="0.3">
      <c r="A19" s="3">
        <v>1959</v>
      </c>
      <c r="B19" s="4" t="s">
        <v>8</v>
      </c>
      <c r="C19" s="4" t="s">
        <v>106</v>
      </c>
      <c r="D19" s="4" t="s">
        <v>18</v>
      </c>
      <c r="E19" s="4">
        <v>32</v>
      </c>
      <c r="F19" s="4" t="s">
        <v>25</v>
      </c>
      <c r="G19" s="52" t="s">
        <v>105</v>
      </c>
      <c r="H19" s="5" t="s">
        <v>27</v>
      </c>
      <c r="I19" s="39">
        <f t="shared" si="0"/>
        <v>32.616199999999999</v>
      </c>
      <c r="J19" s="6">
        <v>30.77</v>
      </c>
    </row>
    <row r="20" spans="1:10" ht="15.75" thickBot="1" x14ac:dyDescent="0.3">
      <c r="A20" s="191"/>
      <c r="B20" s="191"/>
      <c r="C20" s="191"/>
      <c r="D20" s="191"/>
      <c r="E20" s="191"/>
      <c r="F20" s="191"/>
      <c r="G20" s="191"/>
      <c r="H20" s="191"/>
      <c r="I20" s="191"/>
    </row>
    <row r="21" spans="1:10" ht="15.75" thickBot="1" x14ac:dyDescent="0.3">
      <c r="A21" s="192" t="s">
        <v>28</v>
      </c>
      <c r="B21" s="193"/>
      <c r="C21" s="194"/>
      <c r="D21" s="195"/>
      <c r="E21" s="196"/>
      <c r="F21" s="196"/>
      <c r="G21" s="196"/>
      <c r="H21" s="196"/>
      <c r="I21" s="196"/>
      <c r="J21" s="50"/>
    </row>
    <row r="22" spans="1:10" ht="15.75" thickBot="1" x14ac:dyDescent="0.3">
      <c r="A22" s="3">
        <v>85</v>
      </c>
      <c r="B22" s="4" t="s">
        <v>29</v>
      </c>
      <c r="C22" s="4" t="s">
        <v>30</v>
      </c>
      <c r="D22" s="4" t="s">
        <v>10</v>
      </c>
      <c r="E22" s="4">
        <v>36</v>
      </c>
      <c r="F22" s="4" t="s">
        <v>11</v>
      </c>
      <c r="G22" s="51" t="s">
        <v>12</v>
      </c>
      <c r="H22" s="5" t="s">
        <v>31</v>
      </c>
      <c r="I22" s="39">
        <f t="shared" ref="I22:I33" si="1">(J22*$J$6)+J22</f>
        <v>16.366399999999999</v>
      </c>
      <c r="J22" s="6">
        <v>15.44</v>
      </c>
    </row>
    <row r="23" spans="1:10" ht="15.75" thickBot="1" x14ac:dyDescent="0.3">
      <c r="A23" s="3">
        <v>263</v>
      </c>
      <c r="B23" s="4" t="s">
        <v>29</v>
      </c>
      <c r="C23" s="4" t="s">
        <v>30</v>
      </c>
      <c r="D23" s="4" t="s">
        <v>15</v>
      </c>
      <c r="E23" s="4">
        <v>30</v>
      </c>
      <c r="F23" s="4" t="s">
        <v>11</v>
      </c>
      <c r="G23" s="51" t="s">
        <v>12</v>
      </c>
      <c r="H23" s="5" t="s">
        <v>32</v>
      </c>
      <c r="I23" s="39">
        <f t="shared" si="1"/>
        <v>19.991599999999998</v>
      </c>
      <c r="J23" s="6">
        <v>18.86</v>
      </c>
    </row>
    <row r="24" spans="1:10" ht="15.75" thickBot="1" x14ac:dyDescent="0.3">
      <c r="A24" s="3">
        <v>279</v>
      </c>
      <c r="B24" s="4" t="s">
        <v>29</v>
      </c>
      <c r="C24" s="4" t="s">
        <v>30</v>
      </c>
      <c r="D24" s="4" t="s">
        <v>18</v>
      </c>
      <c r="E24" s="4">
        <v>30</v>
      </c>
      <c r="F24" s="4" t="s">
        <v>11</v>
      </c>
      <c r="G24" s="51" t="s">
        <v>12</v>
      </c>
      <c r="H24" s="5" t="s">
        <v>33</v>
      </c>
      <c r="I24" s="39">
        <f t="shared" si="1"/>
        <v>21.072799999999997</v>
      </c>
      <c r="J24" s="6">
        <v>19.88</v>
      </c>
    </row>
    <row r="25" spans="1:10" ht="15.75" thickBot="1" x14ac:dyDescent="0.3">
      <c r="A25" s="3">
        <v>94</v>
      </c>
      <c r="B25" s="4" t="s">
        <v>29</v>
      </c>
      <c r="C25" s="4" t="s">
        <v>30</v>
      </c>
      <c r="D25" s="4" t="s">
        <v>10</v>
      </c>
      <c r="E25" s="4">
        <v>30</v>
      </c>
      <c r="F25" s="4" t="s">
        <v>20</v>
      </c>
      <c r="G25" s="51" t="s">
        <v>12</v>
      </c>
      <c r="H25" s="5" t="s">
        <v>34</v>
      </c>
      <c r="I25" s="39">
        <f t="shared" si="1"/>
        <v>24.167999999999999</v>
      </c>
      <c r="J25" s="6">
        <v>22.8</v>
      </c>
    </row>
    <row r="26" spans="1:10" ht="15.75" thickBot="1" x14ac:dyDescent="0.3">
      <c r="A26" s="3">
        <v>271</v>
      </c>
      <c r="B26" s="4" t="s">
        <v>29</v>
      </c>
      <c r="C26" s="4" t="s">
        <v>30</v>
      </c>
      <c r="D26" s="4" t="s">
        <v>15</v>
      </c>
      <c r="E26" s="4">
        <v>25</v>
      </c>
      <c r="F26" s="4" t="s">
        <v>20</v>
      </c>
      <c r="G26" s="51" t="s">
        <v>12</v>
      </c>
      <c r="H26" s="5" t="s">
        <v>35</v>
      </c>
      <c r="I26" s="39">
        <f t="shared" si="1"/>
        <v>26.351599999999998</v>
      </c>
      <c r="J26" s="6">
        <v>24.86</v>
      </c>
    </row>
    <row r="27" spans="1:10" ht="15.75" thickBot="1" x14ac:dyDescent="0.3">
      <c r="A27" s="3">
        <v>286</v>
      </c>
      <c r="B27" s="4" t="s">
        <v>29</v>
      </c>
      <c r="C27" s="4" t="s">
        <v>30</v>
      </c>
      <c r="D27" s="4" t="s">
        <v>18</v>
      </c>
      <c r="E27" s="4">
        <v>25</v>
      </c>
      <c r="F27" s="4" t="s">
        <v>20</v>
      </c>
      <c r="G27" s="51" t="s">
        <v>12</v>
      </c>
      <c r="H27" s="5" t="s">
        <v>36</v>
      </c>
      <c r="I27" s="39">
        <f t="shared" si="1"/>
        <v>28.471599999999999</v>
      </c>
      <c r="J27" s="6">
        <v>26.86</v>
      </c>
    </row>
    <row r="28" spans="1:10" ht="15.75" thickBot="1" x14ac:dyDescent="0.3">
      <c r="A28" s="3">
        <v>132</v>
      </c>
      <c r="B28" s="4" t="s">
        <v>29</v>
      </c>
      <c r="C28" s="4" t="s">
        <v>30</v>
      </c>
      <c r="D28" s="4" t="s">
        <v>10</v>
      </c>
      <c r="E28" s="4">
        <v>20</v>
      </c>
      <c r="F28" s="4" t="s">
        <v>25</v>
      </c>
      <c r="G28" s="7" t="s">
        <v>26</v>
      </c>
      <c r="H28" s="5" t="s">
        <v>37</v>
      </c>
      <c r="I28" s="39">
        <f t="shared" si="1"/>
        <v>31.450200000000002</v>
      </c>
      <c r="J28" s="6">
        <v>29.67</v>
      </c>
    </row>
    <row r="29" spans="1:10" ht="15.75" thickBot="1" x14ac:dyDescent="0.3">
      <c r="A29" s="3">
        <v>294</v>
      </c>
      <c r="B29" s="4" t="s">
        <v>29</v>
      </c>
      <c r="C29" s="4" t="s">
        <v>30</v>
      </c>
      <c r="D29" s="4" t="s">
        <v>15</v>
      </c>
      <c r="E29" s="4">
        <v>20</v>
      </c>
      <c r="F29" s="4" t="s">
        <v>25</v>
      </c>
      <c r="G29" s="7" t="s">
        <v>26</v>
      </c>
      <c r="H29" s="5" t="s">
        <v>38</v>
      </c>
      <c r="I29" s="39">
        <f t="shared" si="1"/>
        <v>32.4148</v>
      </c>
      <c r="J29" s="6">
        <v>30.58</v>
      </c>
    </row>
    <row r="30" spans="1:10" ht="15.75" thickBot="1" x14ac:dyDescent="0.3">
      <c r="A30" s="3">
        <v>300</v>
      </c>
      <c r="B30" s="4" t="s">
        <v>29</v>
      </c>
      <c r="C30" s="4" t="s">
        <v>30</v>
      </c>
      <c r="D30" s="4" t="s">
        <v>18</v>
      </c>
      <c r="E30" s="4">
        <v>20</v>
      </c>
      <c r="F30" s="4" t="s">
        <v>25</v>
      </c>
      <c r="G30" s="7" t="s">
        <v>26</v>
      </c>
      <c r="H30" s="5" t="s">
        <v>39</v>
      </c>
      <c r="I30" s="39">
        <f t="shared" si="1"/>
        <v>34.916399999999996</v>
      </c>
      <c r="J30" s="6">
        <v>32.94</v>
      </c>
    </row>
    <row r="31" spans="1:10" ht="15.75" thickBot="1" x14ac:dyDescent="0.3">
      <c r="A31" s="3">
        <v>1960</v>
      </c>
      <c r="B31" s="4" t="s">
        <v>29</v>
      </c>
      <c r="C31" s="4" t="s">
        <v>111</v>
      </c>
      <c r="D31" s="4" t="s">
        <v>10</v>
      </c>
      <c r="E31" s="4"/>
      <c r="F31" s="4" t="s">
        <v>25</v>
      </c>
      <c r="G31" s="52" t="s">
        <v>105</v>
      </c>
      <c r="H31" s="5" t="s">
        <v>108</v>
      </c>
      <c r="I31" s="39">
        <f t="shared" si="1"/>
        <v>100.5728</v>
      </c>
      <c r="J31" s="6">
        <v>94.88</v>
      </c>
    </row>
    <row r="32" spans="1:10" ht="15.75" customHeight="1" thickBot="1" x14ac:dyDescent="0.3">
      <c r="A32" s="3">
        <v>1961</v>
      </c>
      <c r="B32" s="4" t="s">
        <v>29</v>
      </c>
      <c r="C32" s="4" t="s">
        <v>111</v>
      </c>
      <c r="D32" s="4" t="s">
        <v>15</v>
      </c>
      <c r="E32" s="4"/>
      <c r="F32" s="4" t="s">
        <v>25</v>
      </c>
      <c r="G32" s="52" t="s">
        <v>105</v>
      </c>
      <c r="H32" s="5" t="s">
        <v>109</v>
      </c>
      <c r="I32" s="39">
        <f t="shared" si="1"/>
        <v>104.622</v>
      </c>
      <c r="J32" s="6">
        <v>98.7</v>
      </c>
    </row>
    <row r="33" spans="1:10" ht="15.75" thickBot="1" x14ac:dyDescent="0.3">
      <c r="A33" s="3">
        <v>1962</v>
      </c>
      <c r="B33" s="4" t="s">
        <v>29</v>
      </c>
      <c r="C33" s="4" t="s">
        <v>111</v>
      </c>
      <c r="D33" s="4" t="s">
        <v>18</v>
      </c>
      <c r="E33" s="4"/>
      <c r="F33" s="4" t="s">
        <v>25</v>
      </c>
      <c r="G33" s="52" t="s">
        <v>105</v>
      </c>
      <c r="H33" s="5" t="s">
        <v>110</v>
      </c>
      <c r="I33" s="39">
        <f t="shared" si="1"/>
        <v>113.88639999999999</v>
      </c>
      <c r="J33" s="6">
        <v>107.44</v>
      </c>
    </row>
    <row r="34" spans="1:10" x14ac:dyDescent="0.25">
      <c r="A34" s="8"/>
      <c r="B34" s="9"/>
      <c r="C34" s="9"/>
      <c r="D34" s="9"/>
      <c r="E34" s="9"/>
      <c r="F34" s="9"/>
      <c r="G34" s="11"/>
      <c r="H34" s="8"/>
      <c r="I34" s="40"/>
      <c r="J34" s="9"/>
    </row>
    <row r="35" spans="1:10" x14ac:dyDescent="0.25">
      <c r="A35" s="197"/>
      <c r="B35" s="197"/>
      <c r="C35" s="197"/>
      <c r="D35" s="197"/>
      <c r="E35" s="197"/>
      <c r="F35" s="197"/>
      <c r="G35" s="197"/>
      <c r="H35" s="197"/>
      <c r="I35" s="197"/>
    </row>
    <row r="36" spans="1:10" x14ac:dyDescent="0.25">
      <c r="A36" s="197"/>
      <c r="B36" s="197"/>
      <c r="C36" s="197"/>
      <c r="D36" s="197"/>
      <c r="E36" s="197"/>
      <c r="F36" s="197"/>
      <c r="G36" s="197"/>
      <c r="H36" s="197"/>
      <c r="I36" s="197"/>
    </row>
    <row r="37" spans="1:10" x14ac:dyDescent="0.25">
      <c r="A37" s="197"/>
      <c r="B37" s="197"/>
      <c r="C37" s="197"/>
      <c r="D37" s="197"/>
      <c r="E37" s="197"/>
      <c r="F37" s="197"/>
      <c r="G37" s="197"/>
      <c r="H37" s="197"/>
      <c r="I37" s="197"/>
    </row>
    <row r="38" spans="1:10" ht="15.75" thickBot="1" x14ac:dyDescent="0.3">
      <c r="A38" s="197"/>
      <c r="B38" s="197"/>
      <c r="C38" s="197"/>
      <c r="D38" s="197"/>
      <c r="E38" s="197"/>
      <c r="F38" s="197"/>
      <c r="G38" s="197"/>
      <c r="H38" s="197"/>
      <c r="I38" s="197"/>
    </row>
    <row r="39" spans="1:10" ht="15.75" thickBot="1" x14ac:dyDescent="0.3">
      <c r="A39" s="198" t="s">
        <v>40</v>
      </c>
      <c r="B39" s="199"/>
      <c r="C39" s="200"/>
      <c r="D39" s="9"/>
      <c r="E39" s="9"/>
      <c r="F39" s="9"/>
      <c r="G39" s="11"/>
      <c r="H39" s="8"/>
      <c r="I39" s="40"/>
      <c r="J39" s="9"/>
    </row>
    <row r="40" spans="1:10" ht="15.75" customHeight="1" thickBot="1" x14ac:dyDescent="0.3">
      <c r="A40" s="3">
        <v>1</v>
      </c>
      <c r="B40" s="4" t="s">
        <v>41</v>
      </c>
      <c r="C40" s="4" t="s">
        <v>42</v>
      </c>
      <c r="D40" s="12" t="s">
        <v>10</v>
      </c>
      <c r="E40" s="12">
        <v>1000</v>
      </c>
      <c r="F40" s="12" t="s">
        <v>11</v>
      </c>
      <c r="G40" s="54" t="s">
        <v>12</v>
      </c>
      <c r="H40" s="13"/>
      <c r="I40" s="41">
        <f t="shared" ref="I40:I48" si="2">(J40*$J$6)+J40</f>
        <v>0.40279999999999999</v>
      </c>
      <c r="J40" s="37">
        <v>0.38</v>
      </c>
    </row>
    <row r="41" spans="1:10" ht="15.75" thickBot="1" x14ac:dyDescent="0.3">
      <c r="A41" s="3">
        <v>2</v>
      </c>
      <c r="B41" s="4" t="s">
        <v>43</v>
      </c>
      <c r="C41" s="4" t="s">
        <v>42</v>
      </c>
      <c r="D41" s="4" t="s">
        <v>15</v>
      </c>
      <c r="E41" s="4">
        <v>1000</v>
      </c>
      <c r="F41" s="4" t="s">
        <v>11</v>
      </c>
      <c r="G41" s="51" t="s">
        <v>12</v>
      </c>
      <c r="H41" s="5"/>
      <c r="I41" s="39">
        <f t="shared" si="2"/>
        <v>0.42400000000000004</v>
      </c>
      <c r="J41" s="36">
        <v>0.4</v>
      </c>
    </row>
    <row r="42" spans="1:10" ht="15.75" thickBot="1" x14ac:dyDescent="0.3">
      <c r="A42" s="3">
        <v>3</v>
      </c>
      <c r="B42" s="4" t="s">
        <v>44</v>
      </c>
      <c r="C42" s="4" t="s">
        <v>42</v>
      </c>
      <c r="D42" s="4" t="s">
        <v>18</v>
      </c>
      <c r="E42" s="4">
        <v>1000</v>
      </c>
      <c r="F42" s="4" t="s">
        <v>11</v>
      </c>
      <c r="G42" s="51" t="s">
        <v>12</v>
      </c>
      <c r="H42" s="5"/>
      <c r="I42" s="39">
        <f t="shared" si="2"/>
        <v>0.44519999999999998</v>
      </c>
      <c r="J42" s="36">
        <v>0.42</v>
      </c>
    </row>
    <row r="43" spans="1:10" ht="15.75" thickBot="1" x14ac:dyDescent="0.3">
      <c r="A43" s="3">
        <v>152</v>
      </c>
      <c r="B43" s="4" t="s">
        <v>41</v>
      </c>
      <c r="C43" s="4" t="s">
        <v>42</v>
      </c>
      <c r="D43" s="12" t="s">
        <v>10</v>
      </c>
      <c r="E43" s="12">
        <v>1000</v>
      </c>
      <c r="F43" s="4" t="s">
        <v>20</v>
      </c>
      <c r="G43" s="7" t="s">
        <v>26</v>
      </c>
      <c r="H43" s="5"/>
      <c r="I43" s="39">
        <f t="shared" si="2"/>
        <v>0.46639999999999998</v>
      </c>
      <c r="J43" s="36">
        <v>0.44</v>
      </c>
    </row>
    <row r="44" spans="1:10" ht="15.75" thickBot="1" x14ac:dyDescent="0.3">
      <c r="A44" s="3">
        <v>153</v>
      </c>
      <c r="B44" s="4" t="s">
        <v>43</v>
      </c>
      <c r="C44" s="4" t="s">
        <v>42</v>
      </c>
      <c r="D44" s="4" t="s">
        <v>15</v>
      </c>
      <c r="E44" s="4">
        <v>1000</v>
      </c>
      <c r="F44" s="4" t="s">
        <v>20</v>
      </c>
      <c r="G44" s="7" t="s">
        <v>26</v>
      </c>
      <c r="H44" s="5"/>
      <c r="I44" s="39">
        <f t="shared" si="2"/>
        <v>0.49819999999999998</v>
      </c>
      <c r="J44" s="36">
        <v>0.47</v>
      </c>
    </row>
    <row r="45" spans="1:10" ht="15.75" thickBot="1" x14ac:dyDescent="0.3">
      <c r="A45" s="3">
        <v>154</v>
      </c>
      <c r="B45" s="4" t="s">
        <v>44</v>
      </c>
      <c r="C45" s="4" t="s">
        <v>42</v>
      </c>
      <c r="D45" s="4" t="s">
        <v>18</v>
      </c>
      <c r="E45" s="4">
        <v>1000</v>
      </c>
      <c r="F45" s="4" t="s">
        <v>20</v>
      </c>
      <c r="G45" s="7" t="s">
        <v>26</v>
      </c>
      <c r="H45" s="5"/>
      <c r="I45" s="39">
        <f t="shared" si="2"/>
        <v>0.51939999999999997</v>
      </c>
      <c r="J45" s="36">
        <v>0.49</v>
      </c>
    </row>
    <row r="46" spans="1:10" ht="15.75" thickBot="1" x14ac:dyDescent="0.3">
      <c r="A46" s="3">
        <v>1641</v>
      </c>
      <c r="B46" s="4" t="s">
        <v>95</v>
      </c>
      <c r="C46" s="4" t="s">
        <v>42</v>
      </c>
      <c r="D46" s="12" t="s">
        <v>10</v>
      </c>
      <c r="E46" s="12">
        <v>1000</v>
      </c>
      <c r="F46" s="12" t="s">
        <v>25</v>
      </c>
      <c r="G46" s="53" t="s">
        <v>98</v>
      </c>
      <c r="H46" s="13"/>
      <c r="I46" s="42">
        <f t="shared" si="2"/>
        <v>0.63600000000000001</v>
      </c>
      <c r="J46" s="37">
        <v>0.6</v>
      </c>
    </row>
    <row r="47" spans="1:10" ht="15.75" thickBot="1" x14ac:dyDescent="0.3">
      <c r="A47" s="3">
        <v>1642</v>
      </c>
      <c r="B47" s="4" t="s">
        <v>96</v>
      </c>
      <c r="C47" s="4" t="s">
        <v>42</v>
      </c>
      <c r="D47" s="4" t="s">
        <v>15</v>
      </c>
      <c r="E47" s="4">
        <v>1000</v>
      </c>
      <c r="F47" s="4" t="s">
        <v>25</v>
      </c>
      <c r="G47" s="53" t="s">
        <v>98</v>
      </c>
      <c r="H47" s="5"/>
      <c r="I47" s="43">
        <f t="shared" si="2"/>
        <v>0.65720000000000001</v>
      </c>
      <c r="J47" s="36">
        <v>0.62</v>
      </c>
    </row>
    <row r="48" spans="1:10" ht="15.75" thickBot="1" x14ac:dyDescent="0.3">
      <c r="A48" s="3">
        <v>1643</v>
      </c>
      <c r="B48" s="4" t="s">
        <v>97</v>
      </c>
      <c r="C48" s="4" t="s">
        <v>42</v>
      </c>
      <c r="D48" s="4" t="s">
        <v>18</v>
      </c>
      <c r="E48" s="4">
        <v>1000</v>
      </c>
      <c r="F48" s="4" t="s">
        <v>25</v>
      </c>
      <c r="G48" s="53" t="s">
        <v>98</v>
      </c>
      <c r="H48" s="5"/>
      <c r="I48" s="43">
        <f t="shared" si="2"/>
        <v>0.68900000000000006</v>
      </c>
      <c r="J48" s="36">
        <v>0.65</v>
      </c>
    </row>
    <row r="49" spans="1:10" ht="15.75" thickBot="1" x14ac:dyDescent="0.3">
      <c r="A49" s="14"/>
      <c r="B49" s="10"/>
      <c r="C49" s="10"/>
      <c r="D49" s="9"/>
      <c r="E49" s="9"/>
      <c r="F49" s="9"/>
      <c r="G49" s="8"/>
      <c r="H49" s="8"/>
      <c r="I49" s="40"/>
      <c r="J49" s="9"/>
    </row>
    <row r="50" spans="1:10" ht="15.75" thickBot="1" x14ac:dyDescent="0.3">
      <c r="A50" s="201" t="s">
        <v>45</v>
      </c>
      <c r="B50" s="202"/>
      <c r="C50" s="203"/>
      <c r="D50" s="15"/>
      <c r="E50" s="204"/>
      <c r="F50" s="204"/>
      <c r="G50" s="204"/>
      <c r="H50" s="204"/>
      <c r="I50" s="204"/>
    </row>
    <row r="51" spans="1:10" ht="15.75" thickBot="1" x14ac:dyDescent="0.3">
      <c r="A51" s="3">
        <v>1586</v>
      </c>
      <c r="B51" s="4" t="s">
        <v>46</v>
      </c>
      <c r="C51" s="4" t="s">
        <v>47</v>
      </c>
      <c r="D51" s="12"/>
      <c r="E51" s="57"/>
      <c r="F51" s="12" t="s">
        <v>48</v>
      </c>
      <c r="G51" s="54" t="s">
        <v>12</v>
      </c>
      <c r="H51" s="13" t="s">
        <v>49</v>
      </c>
      <c r="I51" s="41">
        <f t="shared" ref="I51:I59" si="3">(J51*$J$6)+J51</f>
        <v>52.47</v>
      </c>
      <c r="J51" s="55">
        <v>49.5</v>
      </c>
    </row>
    <row r="52" spans="1:10" ht="15.75" thickBot="1" x14ac:dyDescent="0.3">
      <c r="A52" s="3"/>
      <c r="B52" s="4" t="s">
        <v>46</v>
      </c>
      <c r="C52" s="4" t="s">
        <v>47</v>
      </c>
      <c r="D52" s="4"/>
      <c r="E52" s="4"/>
      <c r="F52" s="4" t="s">
        <v>113</v>
      </c>
      <c r="G52" s="54" t="s">
        <v>12</v>
      </c>
      <c r="H52" s="5"/>
      <c r="I52" s="39">
        <f t="shared" si="3"/>
        <v>51.41</v>
      </c>
      <c r="J52" s="39">
        <v>48.5</v>
      </c>
    </row>
    <row r="53" spans="1:10" ht="15.75" thickBot="1" x14ac:dyDescent="0.3">
      <c r="A53" s="3">
        <v>1588</v>
      </c>
      <c r="B53" s="4" t="s">
        <v>50</v>
      </c>
      <c r="C53" s="4" t="s">
        <v>100</v>
      </c>
      <c r="D53" s="4"/>
      <c r="E53" s="4"/>
      <c r="F53" s="4" t="s">
        <v>48</v>
      </c>
      <c r="G53" s="51" t="s">
        <v>12</v>
      </c>
      <c r="H53" s="5" t="s">
        <v>51</v>
      </c>
      <c r="I53" s="39">
        <f t="shared" si="3"/>
        <v>5.4908000000000001</v>
      </c>
      <c r="J53" s="6">
        <v>5.18</v>
      </c>
    </row>
    <row r="54" spans="1:10" ht="15.75" thickBot="1" x14ac:dyDescent="0.3">
      <c r="A54" s="3">
        <v>1587</v>
      </c>
      <c r="B54" s="4" t="s">
        <v>50</v>
      </c>
      <c r="C54" s="4" t="s">
        <v>101</v>
      </c>
      <c r="D54" s="4"/>
      <c r="E54" s="4"/>
      <c r="F54" s="4" t="s">
        <v>48</v>
      </c>
      <c r="G54" s="51" t="s">
        <v>12</v>
      </c>
      <c r="H54" s="5" t="s">
        <v>51</v>
      </c>
      <c r="I54" s="39">
        <f t="shared" si="3"/>
        <v>2.968</v>
      </c>
      <c r="J54" s="6">
        <v>2.8</v>
      </c>
    </row>
    <row r="55" spans="1:10" ht="15.75" thickBot="1" x14ac:dyDescent="0.3">
      <c r="A55" s="3">
        <v>155</v>
      </c>
      <c r="B55" s="4" t="s">
        <v>46</v>
      </c>
      <c r="C55" s="4" t="s">
        <v>47</v>
      </c>
      <c r="D55" s="12"/>
      <c r="E55" s="4">
        <v>12</v>
      </c>
      <c r="F55" s="4" t="s">
        <v>48</v>
      </c>
      <c r="G55" s="7" t="s">
        <v>26</v>
      </c>
      <c r="H55" s="5" t="s">
        <v>49</v>
      </c>
      <c r="I55" s="39">
        <f t="shared" si="3"/>
        <v>75.260000000000005</v>
      </c>
      <c r="J55" s="6">
        <v>71</v>
      </c>
    </row>
    <row r="56" spans="1:10" ht="15.75" thickBot="1" x14ac:dyDescent="0.3">
      <c r="A56" s="3">
        <v>158</v>
      </c>
      <c r="B56" s="4" t="s">
        <v>50</v>
      </c>
      <c r="C56" s="4" t="s">
        <v>100</v>
      </c>
      <c r="D56" s="4"/>
      <c r="E56" s="4">
        <v>150</v>
      </c>
      <c r="F56" s="4" t="s">
        <v>48</v>
      </c>
      <c r="G56" s="7" t="s">
        <v>26</v>
      </c>
      <c r="H56" s="5" t="s">
        <v>51</v>
      </c>
      <c r="I56" s="39">
        <f t="shared" si="3"/>
        <v>7.3988000000000005</v>
      </c>
      <c r="J56" s="6">
        <v>6.98</v>
      </c>
    </row>
    <row r="57" spans="1:10" ht="15.75" thickBot="1" x14ac:dyDescent="0.3">
      <c r="A57" s="3">
        <v>1209</v>
      </c>
      <c r="B57" s="4" t="s">
        <v>46</v>
      </c>
      <c r="C57" s="4" t="s">
        <v>47</v>
      </c>
      <c r="D57" s="4"/>
      <c r="E57" s="4"/>
      <c r="F57" s="4" t="s">
        <v>48</v>
      </c>
      <c r="G57" s="53" t="s">
        <v>98</v>
      </c>
      <c r="H57" s="5" t="s">
        <v>49</v>
      </c>
      <c r="I57" s="39">
        <f t="shared" si="3"/>
        <v>91.69</v>
      </c>
      <c r="J57" s="6">
        <v>86.5</v>
      </c>
    </row>
    <row r="58" spans="1:10" ht="15.75" thickBot="1" x14ac:dyDescent="0.3">
      <c r="A58" s="3">
        <v>1640</v>
      </c>
      <c r="B58" s="4" t="s">
        <v>50</v>
      </c>
      <c r="C58" s="4" t="s">
        <v>100</v>
      </c>
      <c r="D58" s="4"/>
      <c r="E58" s="4"/>
      <c r="F58" s="4" t="s">
        <v>48</v>
      </c>
      <c r="G58" s="53" t="s">
        <v>98</v>
      </c>
      <c r="H58" s="5" t="s">
        <v>51</v>
      </c>
      <c r="I58" s="39">
        <f t="shared" si="3"/>
        <v>8.4375999999999998</v>
      </c>
      <c r="J58" s="6">
        <v>7.96</v>
      </c>
    </row>
    <row r="59" spans="1:10" ht="15.75" thickBot="1" x14ac:dyDescent="0.3">
      <c r="A59" s="3">
        <v>1639</v>
      </c>
      <c r="B59" s="4" t="s">
        <v>50</v>
      </c>
      <c r="C59" s="4" t="s">
        <v>101</v>
      </c>
      <c r="D59" s="4"/>
      <c r="E59" s="4"/>
      <c r="F59" s="4" t="s">
        <v>48</v>
      </c>
      <c r="G59" s="53" t="s">
        <v>98</v>
      </c>
      <c r="H59" s="5" t="s">
        <v>51</v>
      </c>
      <c r="I59" s="39">
        <f t="shared" si="3"/>
        <v>4.5368000000000004</v>
      </c>
      <c r="J59" s="6">
        <v>4.28</v>
      </c>
    </row>
    <row r="60" spans="1:10" x14ac:dyDescent="0.25">
      <c r="F60" s="34"/>
      <c r="G60" s="34"/>
      <c r="H60" s="34"/>
      <c r="I60" s="44"/>
    </row>
    <row r="61" spans="1:10" x14ac:dyDescent="0.25">
      <c r="A61" s="16"/>
      <c r="F61" s="34"/>
      <c r="G61" s="34"/>
      <c r="H61" s="34"/>
      <c r="I61" s="44"/>
    </row>
    <row r="62" spans="1:10" x14ac:dyDescent="0.25">
      <c r="A62" s="16"/>
      <c r="F62" s="34"/>
      <c r="G62" s="34"/>
      <c r="H62" s="34"/>
      <c r="I62" s="44"/>
    </row>
    <row r="63" spans="1:10" ht="15.75" thickBot="1" x14ac:dyDescent="0.3">
      <c r="A63" s="16"/>
      <c r="F63" s="34"/>
      <c r="G63" s="34"/>
      <c r="H63" s="34"/>
      <c r="I63" s="44"/>
    </row>
    <row r="64" spans="1:10" ht="15.75" thickBot="1" x14ac:dyDescent="0.3">
      <c r="A64" s="184" t="s">
        <v>52</v>
      </c>
      <c r="B64" s="185"/>
      <c r="C64" s="185"/>
      <c r="D64" s="186"/>
      <c r="E64" s="17"/>
      <c r="F64" s="17"/>
      <c r="G64" s="17"/>
      <c r="H64" s="17"/>
      <c r="I64" s="45"/>
      <c r="J64" s="17"/>
    </row>
    <row r="65" spans="1:10" x14ac:dyDescent="0.25">
      <c r="A65" s="166" t="s">
        <v>2</v>
      </c>
      <c r="B65" s="166" t="s">
        <v>3</v>
      </c>
      <c r="C65" s="166" t="s">
        <v>4</v>
      </c>
      <c r="D65" s="166"/>
      <c r="E65" s="168" t="s">
        <v>53</v>
      </c>
      <c r="F65" s="168" t="s">
        <v>54</v>
      </c>
      <c r="G65" s="168" t="s">
        <v>99</v>
      </c>
      <c r="H65" s="168" t="s">
        <v>6</v>
      </c>
      <c r="I65" s="164" t="s">
        <v>7</v>
      </c>
      <c r="J65" s="18"/>
    </row>
    <row r="66" spans="1:10" ht="15.75" customHeight="1" thickBot="1" x14ac:dyDescent="0.3">
      <c r="A66" s="167"/>
      <c r="B66" s="167"/>
      <c r="C66" s="167"/>
      <c r="D66" s="167"/>
      <c r="E66" s="167"/>
      <c r="F66" s="167"/>
      <c r="G66" s="167"/>
      <c r="H66" s="167"/>
      <c r="I66" s="165"/>
      <c r="J66" s="19" t="s">
        <v>7</v>
      </c>
    </row>
    <row r="67" spans="1:10" ht="36.75" thickBot="1" x14ac:dyDescent="0.3">
      <c r="A67" s="20">
        <v>163</v>
      </c>
      <c r="B67" s="21" t="s">
        <v>55</v>
      </c>
      <c r="C67" s="21" t="s">
        <v>56</v>
      </c>
      <c r="D67" s="21" t="s">
        <v>57</v>
      </c>
      <c r="E67" s="21" t="s">
        <v>58</v>
      </c>
      <c r="F67" s="21" t="s">
        <v>75</v>
      </c>
      <c r="G67" s="21" t="s">
        <v>11</v>
      </c>
      <c r="H67" s="54" t="s">
        <v>12</v>
      </c>
      <c r="I67" s="46">
        <f t="shared" ref="I67:I86" si="4">(J67*$J$6)+J67</f>
        <v>4.7275999999999998</v>
      </c>
      <c r="J67" s="22">
        <v>4.46</v>
      </c>
    </row>
    <row r="68" spans="1:10" ht="36.75" thickBot="1" x14ac:dyDescent="0.3">
      <c r="A68" s="20">
        <v>480</v>
      </c>
      <c r="B68" s="21" t="s">
        <v>55</v>
      </c>
      <c r="C68" s="21" t="s">
        <v>59</v>
      </c>
      <c r="D68" s="21" t="s">
        <v>57</v>
      </c>
      <c r="E68" s="23" t="s">
        <v>58</v>
      </c>
      <c r="F68" s="21" t="s">
        <v>75</v>
      </c>
      <c r="G68" s="21" t="s">
        <v>11</v>
      </c>
      <c r="H68" s="54" t="s">
        <v>12</v>
      </c>
      <c r="I68" s="46">
        <f t="shared" si="4"/>
        <v>5.8405999999999993</v>
      </c>
      <c r="J68" s="22">
        <v>5.51</v>
      </c>
    </row>
    <row r="69" spans="1:10" ht="36.75" thickBot="1" x14ac:dyDescent="0.3">
      <c r="A69" s="20">
        <v>164</v>
      </c>
      <c r="B69" s="21" t="s">
        <v>55</v>
      </c>
      <c r="C69" s="21" t="s">
        <v>60</v>
      </c>
      <c r="D69" s="21" t="s">
        <v>57</v>
      </c>
      <c r="E69" s="23" t="s">
        <v>58</v>
      </c>
      <c r="F69" s="21" t="s">
        <v>61</v>
      </c>
      <c r="G69" s="21" t="s">
        <v>11</v>
      </c>
      <c r="H69" s="54" t="s">
        <v>12</v>
      </c>
      <c r="I69" s="46">
        <f t="shared" si="4"/>
        <v>6.6992000000000003</v>
      </c>
      <c r="J69" s="22">
        <v>6.32</v>
      </c>
    </row>
    <row r="70" spans="1:10" ht="36.75" thickBot="1" x14ac:dyDescent="0.3">
      <c r="A70" s="20">
        <v>165</v>
      </c>
      <c r="B70" s="21" t="s">
        <v>55</v>
      </c>
      <c r="C70" s="21" t="s">
        <v>62</v>
      </c>
      <c r="D70" s="21" t="s">
        <v>57</v>
      </c>
      <c r="E70" s="23" t="s">
        <v>58</v>
      </c>
      <c r="F70" s="21" t="s">
        <v>72</v>
      </c>
      <c r="G70" s="21" t="s">
        <v>11</v>
      </c>
      <c r="H70" s="54" t="s">
        <v>12</v>
      </c>
      <c r="I70" s="46">
        <f t="shared" si="4"/>
        <v>8.628400000000001</v>
      </c>
      <c r="J70" s="22">
        <v>8.14</v>
      </c>
    </row>
    <row r="71" spans="1:10" ht="36.75" thickBot="1" x14ac:dyDescent="0.3">
      <c r="A71" s="20">
        <v>166</v>
      </c>
      <c r="B71" s="21" t="s">
        <v>55</v>
      </c>
      <c r="C71" s="21" t="s">
        <v>64</v>
      </c>
      <c r="D71" s="21" t="s">
        <v>57</v>
      </c>
      <c r="E71" s="23" t="s">
        <v>58</v>
      </c>
      <c r="F71" s="21" t="s">
        <v>65</v>
      </c>
      <c r="G71" s="21" t="s">
        <v>11</v>
      </c>
      <c r="H71" s="54" t="s">
        <v>12</v>
      </c>
      <c r="I71" s="46">
        <f t="shared" si="4"/>
        <v>12.7836</v>
      </c>
      <c r="J71" s="22">
        <v>12.06</v>
      </c>
    </row>
    <row r="72" spans="1:10" ht="36.75" thickBot="1" x14ac:dyDescent="0.3">
      <c r="A72" s="20">
        <v>171</v>
      </c>
      <c r="B72" s="21" t="s">
        <v>55</v>
      </c>
      <c r="C72" s="21" t="s">
        <v>66</v>
      </c>
      <c r="D72" s="21" t="s">
        <v>57</v>
      </c>
      <c r="E72" s="23" t="s">
        <v>58</v>
      </c>
      <c r="F72" s="21" t="s">
        <v>67</v>
      </c>
      <c r="G72" s="21" t="s">
        <v>11</v>
      </c>
      <c r="H72" s="54" t="s">
        <v>12</v>
      </c>
      <c r="I72" s="46">
        <f t="shared" si="4"/>
        <v>6.4130000000000003</v>
      </c>
      <c r="J72" s="22">
        <v>6.05</v>
      </c>
    </row>
    <row r="73" spans="1:10" ht="36.75" thickBot="1" x14ac:dyDescent="0.3">
      <c r="A73" s="20">
        <v>478</v>
      </c>
      <c r="B73" s="21" t="s">
        <v>55</v>
      </c>
      <c r="C73" s="21" t="s">
        <v>68</v>
      </c>
      <c r="D73" s="21" t="s">
        <v>57</v>
      </c>
      <c r="E73" s="23" t="s">
        <v>58</v>
      </c>
      <c r="F73" s="21" t="s">
        <v>61</v>
      </c>
      <c r="G73" s="21" t="s">
        <v>11</v>
      </c>
      <c r="H73" s="54" t="s">
        <v>12</v>
      </c>
      <c r="I73" s="46">
        <f t="shared" si="4"/>
        <v>8.0771999999999995</v>
      </c>
      <c r="J73" s="22">
        <v>7.62</v>
      </c>
    </row>
    <row r="74" spans="1:10" ht="36.75" thickBot="1" x14ac:dyDescent="0.3">
      <c r="A74" s="20">
        <v>172</v>
      </c>
      <c r="B74" s="21" t="s">
        <v>55</v>
      </c>
      <c r="C74" s="21" t="s">
        <v>69</v>
      </c>
      <c r="D74" s="21" t="s">
        <v>57</v>
      </c>
      <c r="E74" s="23" t="s">
        <v>58</v>
      </c>
      <c r="F74" s="21" t="s">
        <v>70</v>
      </c>
      <c r="G74" s="21" t="s">
        <v>11</v>
      </c>
      <c r="H74" s="54" t="s">
        <v>12</v>
      </c>
      <c r="I74" s="46">
        <f t="shared" si="4"/>
        <v>9.4445999999999994</v>
      </c>
      <c r="J74" s="22">
        <v>8.91</v>
      </c>
    </row>
    <row r="75" spans="1:10" ht="36.75" thickBot="1" x14ac:dyDescent="0.3">
      <c r="A75" s="24">
        <v>173</v>
      </c>
      <c r="B75" s="25" t="s">
        <v>55</v>
      </c>
      <c r="C75" s="25" t="s">
        <v>71</v>
      </c>
      <c r="D75" s="25" t="s">
        <v>57</v>
      </c>
      <c r="E75" s="26" t="s">
        <v>58</v>
      </c>
      <c r="F75" s="25" t="s">
        <v>78</v>
      </c>
      <c r="G75" s="25" t="s">
        <v>11</v>
      </c>
      <c r="H75" s="54" t="s">
        <v>12</v>
      </c>
      <c r="I75" s="47">
        <f t="shared" si="4"/>
        <v>12.264200000000001</v>
      </c>
      <c r="J75" s="27">
        <v>11.57</v>
      </c>
    </row>
    <row r="76" spans="1:10" ht="36.75" thickBot="1" x14ac:dyDescent="0.3">
      <c r="A76" s="28">
        <v>174</v>
      </c>
      <c r="B76" s="29" t="s">
        <v>55</v>
      </c>
      <c r="C76" s="29" t="s">
        <v>73</v>
      </c>
      <c r="D76" s="29" t="s">
        <v>57</v>
      </c>
      <c r="E76" s="30" t="s">
        <v>58</v>
      </c>
      <c r="F76" s="29" t="s">
        <v>74</v>
      </c>
      <c r="G76" s="29" t="s">
        <v>11</v>
      </c>
      <c r="H76" s="54" t="s">
        <v>12</v>
      </c>
      <c r="I76" s="48">
        <f t="shared" si="4"/>
        <v>17.5642</v>
      </c>
      <c r="J76" s="31">
        <v>16.57</v>
      </c>
    </row>
    <row r="77" spans="1:10" ht="36.75" thickBot="1" x14ac:dyDescent="0.3">
      <c r="A77" s="20">
        <v>159</v>
      </c>
      <c r="B77" s="21" t="s">
        <v>55</v>
      </c>
      <c r="C77" s="21" t="s">
        <v>56</v>
      </c>
      <c r="D77" s="21" t="s">
        <v>57</v>
      </c>
      <c r="E77" s="23" t="s">
        <v>58</v>
      </c>
      <c r="F77" s="21" t="s">
        <v>75</v>
      </c>
      <c r="G77" s="21" t="s">
        <v>25</v>
      </c>
      <c r="H77" s="53" t="s">
        <v>98</v>
      </c>
      <c r="I77" s="46">
        <f t="shared" si="4"/>
        <v>5.5225999999999997</v>
      </c>
      <c r="J77" s="22">
        <v>5.21</v>
      </c>
    </row>
    <row r="78" spans="1:10" ht="36.75" thickBot="1" x14ac:dyDescent="0.3">
      <c r="A78" s="20">
        <v>481</v>
      </c>
      <c r="B78" s="21" t="s">
        <v>55</v>
      </c>
      <c r="C78" s="21" t="s">
        <v>59</v>
      </c>
      <c r="D78" s="21" t="s">
        <v>57</v>
      </c>
      <c r="E78" s="23" t="s">
        <v>58</v>
      </c>
      <c r="F78" s="21" t="s">
        <v>76</v>
      </c>
      <c r="G78" s="21" t="s">
        <v>25</v>
      </c>
      <c r="H78" s="53" t="s">
        <v>98</v>
      </c>
      <c r="I78" s="46">
        <f t="shared" si="4"/>
        <v>6.8264000000000005</v>
      </c>
      <c r="J78" s="22">
        <v>6.44</v>
      </c>
    </row>
    <row r="79" spans="1:10" ht="36.75" thickBot="1" x14ac:dyDescent="0.3">
      <c r="A79" s="20">
        <v>160</v>
      </c>
      <c r="B79" s="21" t="s">
        <v>55</v>
      </c>
      <c r="C79" s="21" t="s">
        <v>60</v>
      </c>
      <c r="D79" s="21" t="s">
        <v>57</v>
      </c>
      <c r="E79" s="23" t="s">
        <v>58</v>
      </c>
      <c r="F79" s="21" t="s">
        <v>63</v>
      </c>
      <c r="G79" s="21" t="s">
        <v>25</v>
      </c>
      <c r="H79" s="53" t="s">
        <v>98</v>
      </c>
      <c r="I79" s="46">
        <f t="shared" si="4"/>
        <v>7.8228</v>
      </c>
      <c r="J79" s="22">
        <v>7.38</v>
      </c>
    </row>
    <row r="80" spans="1:10" ht="36.75" thickBot="1" x14ac:dyDescent="0.3">
      <c r="A80" s="20">
        <v>161</v>
      </c>
      <c r="B80" s="21" t="s">
        <v>55</v>
      </c>
      <c r="C80" s="21" t="s">
        <v>62</v>
      </c>
      <c r="D80" s="21" t="s">
        <v>57</v>
      </c>
      <c r="E80" s="23" t="s">
        <v>58</v>
      </c>
      <c r="F80" s="21" t="s">
        <v>72</v>
      </c>
      <c r="G80" s="21" t="s">
        <v>25</v>
      </c>
      <c r="H80" s="53" t="s">
        <v>98</v>
      </c>
      <c r="I80" s="46">
        <f t="shared" si="4"/>
        <v>10.0594</v>
      </c>
      <c r="J80" s="22">
        <v>9.49</v>
      </c>
    </row>
    <row r="81" spans="1:10" ht="36.75" thickBot="1" x14ac:dyDescent="0.3">
      <c r="A81" s="20">
        <v>162</v>
      </c>
      <c r="B81" s="21" t="s">
        <v>55</v>
      </c>
      <c r="C81" s="21" t="s">
        <v>64</v>
      </c>
      <c r="D81" s="21" t="s">
        <v>57</v>
      </c>
      <c r="E81" s="23" t="s">
        <v>58</v>
      </c>
      <c r="F81" s="21" t="s">
        <v>77</v>
      </c>
      <c r="G81" s="21" t="s">
        <v>25</v>
      </c>
      <c r="H81" s="53" t="s">
        <v>98</v>
      </c>
      <c r="I81" s="46">
        <f t="shared" si="4"/>
        <v>14.9778</v>
      </c>
      <c r="J81" s="22">
        <v>14.13</v>
      </c>
    </row>
    <row r="82" spans="1:10" ht="36.75" thickBot="1" x14ac:dyDescent="0.3">
      <c r="A82" s="20">
        <v>167</v>
      </c>
      <c r="B82" s="21" t="s">
        <v>55</v>
      </c>
      <c r="C82" s="21" t="s">
        <v>66</v>
      </c>
      <c r="D82" s="21" t="s">
        <v>57</v>
      </c>
      <c r="E82" s="23" t="s">
        <v>58</v>
      </c>
      <c r="F82" s="21" t="s">
        <v>61</v>
      </c>
      <c r="G82" s="21" t="s">
        <v>25</v>
      </c>
      <c r="H82" s="53" t="s">
        <v>98</v>
      </c>
      <c r="I82" s="46">
        <f t="shared" si="4"/>
        <v>7.6214000000000004</v>
      </c>
      <c r="J82" s="22">
        <v>7.19</v>
      </c>
    </row>
    <row r="83" spans="1:10" ht="36.75" thickBot="1" x14ac:dyDescent="0.3">
      <c r="A83" s="20">
        <v>479</v>
      </c>
      <c r="B83" s="21" t="s">
        <v>55</v>
      </c>
      <c r="C83" s="21" t="s">
        <v>68</v>
      </c>
      <c r="D83" s="21" t="s">
        <v>57</v>
      </c>
      <c r="E83" s="23" t="s">
        <v>58</v>
      </c>
      <c r="F83" s="21" t="s">
        <v>63</v>
      </c>
      <c r="G83" s="21" t="s">
        <v>25</v>
      </c>
      <c r="H83" s="53" t="s">
        <v>98</v>
      </c>
      <c r="I83" s="46">
        <f t="shared" si="4"/>
        <v>9.4340000000000011</v>
      </c>
      <c r="J83" s="22">
        <v>8.9</v>
      </c>
    </row>
    <row r="84" spans="1:10" ht="36.75" thickBot="1" x14ac:dyDescent="0.3">
      <c r="A84" s="20">
        <v>168</v>
      </c>
      <c r="B84" s="21" t="s">
        <v>55</v>
      </c>
      <c r="C84" s="21" t="s">
        <v>69</v>
      </c>
      <c r="D84" s="21" t="s">
        <v>57</v>
      </c>
      <c r="E84" s="23" t="s">
        <v>58</v>
      </c>
      <c r="F84" s="21" t="s">
        <v>72</v>
      </c>
      <c r="G84" s="21" t="s">
        <v>25</v>
      </c>
      <c r="H84" s="53" t="s">
        <v>98</v>
      </c>
      <c r="I84" s="46">
        <f t="shared" si="4"/>
        <v>11.151199999999999</v>
      </c>
      <c r="J84" s="22">
        <v>10.52</v>
      </c>
    </row>
    <row r="85" spans="1:10" ht="36.75" thickBot="1" x14ac:dyDescent="0.3">
      <c r="A85" s="20">
        <v>169</v>
      </c>
      <c r="B85" s="21" t="s">
        <v>55</v>
      </c>
      <c r="C85" s="21" t="s">
        <v>71</v>
      </c>
      <c r="D85" s="21" t="s">
        <v>57</v>
      </c>
      <c r="E85" s="23" t="s">
        <v>58</v>
      </c>
      <c r="F85" s="21" t="s">
        <v>78</v>
      </c>
      <c r="G85" s="21" t="s">
        <v>25</v>
      </c>
      <c r="H85" s="53" t="s">
        <v>98</v>
      </c>
      <c r="I85" s="46">
        <f t="shared" si="4"/>
        <v>14.320599999999999</v>
      </c>
      <c r="J85" s="22">
        <v>13.51</v>
      </c>
    </row>
    <row r="86" spans="1:10" ht="36.75" thickBot="1" x14ac:dyDescent="0.3">
      <c r="A86" s="20">
        <v>170</v>
      </c>
      <c r="B86" s="21" t="s">
        <v>55</v>
      </c>
      <c r="C86" s="21" t="s">
        <v>73</v>
      </c>
      <c r="D86" s="21" t="s">
        <v>57</v>
      </c>
      <c r="E86" s="23" t="s">
        <v>58</v>
      </c>
      <c r="F86" s="21" t="s">
        <v>79</v>
      </c>
      <c r="G86" s="21" t="s">
        <v>25</v>
      </c>
      <c r="H86" s="53" t="s">
        <v>98</v>
      </c>
      <c r="I86" s="46">
        <f t="shared" si="4"/>
        <v>20.648800000000001</v>
      </c>
      <c r="J86" s="22">
        <v>19.48</v>
      </c>
    </row>
    <row r="87" spans="1:10" x14ac:dyDescent="0.25">
      <c r="A87" s="16"/>
      <c r="F87" s="34"/>
      <c r="G87" s="34"/>
      <c r="H87" s="34"/>
      <c r="I87" s="44"/>
    </row>
    <row r="88" spans="1:10" x14ac:dyDescent="0.25">
      <c r="A88" s="16"/>
      <c r="F88" s="34"/>
      <c r="G88" s="34"/>
      <c r="H88" s="34"/>
      <c r="I88" s="44"/>
    </row>
    <row r="89" spans="1:10" x14ac:dyDescent="0.25">
      <c r="A89" s="16"/>
      <c r="F89" s="34"/>
      <c r="G89" s="34"/>
      <c r="H89" s="34"/>
      <c r="I89" s="44"/>
    </row>
    <row r="90" spans="1:10" x14ac:dyDescent="0.25">
      <c r="A90" s="16"/>
      <c r="F90" s="34"/>
      <c r="G90" s="34"/>
      <c r="H90" s="34"/>
      <c r="I90" s="44"/>
    </row>
    <row r="91" spans="1:10" ht="15.75" thickBot="1" x14ac:dyDescent="0.3">
      <c r="A91" s="16"/>
      <c r="F91" s="34"/>
      <c r="G91" s="34"/>
      <c r="H91" s="34"/>
      <c r="I91" s="44"/>
    </row>
    <row r="92" spans="1:10" ht="15.75" thickBot="1" x14ac:dyDescent="0.3">
      <c r="A92" s="171" t="s">
        <v>80</v>
      </c>
      <c r="B92" s="172"/>
      <c r="C92" s="172"/>
      <c r="D92" s="173"/>
      <c r="E92" s="17"/>
      <c r="F92" s="17"/>
      <c r="G92" s="17"/>
      <c r="H92" s="17"/>
      <c r="I92" s="45"/>
      <c r="J92" s="17"/>
    </row>
    <row r="93" spans="1:10" x14ac:dyDescent="0.25">
      <c r="A93" s="166" t="s">
        <v>2</v>
      </c>
      <c r="B93" s="166" t="s">
        <v>3</v>
      </c>
      <c r="C93" s="166" t="s">
        <v>4</v>
      </c>
      <c r="D93" s="166"/>
      <c r="E93" s="168" t="s">
        <v>53</v>
      </c>
      <c r="F93" s="168" t="s">
        <v>54</v>
      </c>
      <c r="G93" s="168" t="s">
        <v>99</v>
      </c>
      <c r="H93" s="168" t="s">
        <v>6</v>
      </c>
      <c r="I93" s="164" t="s">
        <v>7</v>
      </c>
      <c r="J93" s="18"/>
    </row>
    <row r="94" spans="1:10" ht="15.75" customHeight="1" thickBot="1" x14ac:dyDescent="0.3">
      <c r="A94" s="167"/>
      <c r="B94" s="167"/>
      <c r="C94" s="167"/>
      <c r="D94" s="167"/>
      <c r="E94" s="167"/>
      <c r="F94" s="167"/>
      <c r="G94" s="167"/>
      <c r="H94" s="167"/>
      <c r="I94" s="165"/>
      <c r="J94" s="19" t="s">
        <v>7</v>
      </c>
    </row>
    <row r="95" spans="1:10" ht="36.75" thickBot="1" x14ac:dyDescent="0.3">
      <c r="A95" s="20">
        <v>414</v>
      </c>
      <c r="B95" s="21" t="s">
        <v>55</v>
      </c>
      <c r="C95" s="21" t="s">
        <v>56</v>
      </c>
      <c r="D95" s="21" t="s">
        <v>57</v>
      </c>
      <c r="E95" s="21" t="s">
        <v>81</v>
      </c>
      <c r="F95" s="21" t="s">
        <v>75</v>
      </c>
      <c r="G95" s="21" t="s">
        <v>11</v>
      </c>
      <c r="H95" s="54" t="s">
        <v>12</v>
      </c>
      <c r="I95" s="46">
        <f t="shared" ref="I95:I114" si="5">(J95*$J$6)+J95</f>
        <v>4.5792000000000002</v>
      </c>
      <c r="J95" s="22">
        <v>4.32</v>
      </c>
    </row>
    <row r="96" spans="1:10" ht="36.75" thickBot="1" x14ac:dyDescent="0.3">
      <c r="A96" s="20">
        <v>476</v>
      </c>
      <c r="B96" s="21" t="s">
        <v>55</v>
      </c>
      <c r="C96" s="21" t="s">
        <v>59</v>
      </c>
      <c r="D96" s="21" t="s">
        <v>57</v>
      </c>
      <c r="E96" s="23" t="s">
        <v>81</v>
      </c>
      <c r="F96" s="21" t="s">
        <v>103</v>
      </c>
      <c r="G96" s="21" t="s">
        <v>11</v>
      </c>
      <c r="H96" s="54" t="s">
        <v>12</v>
      </c>
      <c r="I96" s="46">
        <f t="shared" si="5"/>
        <v>5.6604000000000001</v>
      </c>
      <c r="J96" s="22">
        <v>5.34</v>
      </c>
    </row>
    <row r="97" spans="1:10" ht="36.75" thickBot="1" x14ac:dyDescent="0.3">
      <c r="A97" s="20">
        <v>419</v>
      </c>
      <c r="B97" s="21" t="s">
        <v>55</v>
      </c>
      <c r="C97" s="21" t="s">
        <v>60</v>
      </c>
      <c r="D97" s="21" t="s">
        <v>57</v>
      </c>
      <c r="E97" s="23" t="s">
        <v>81</v>
      </c>
      <c r="F97" s="21" t="s">
        <v>72</v>
      </c>
      <c r="G97" s="21" t="s">
        <v>11</v>
      </c>
      <c r="H97" s="54" t="s">
        <v>12</v>
      </c>
      <c r="I97" s="46">
        <f t="shared" si="5"/>
        <v>6.5190000000000001</v>
      </c>
      <c r="J97" s="22">
        <v>6.15</v>
      </c>
    </row>
    <row r="98" spans="1:10" ht="36.75" thickBot="1" x14ac:dyDescent="0.3">
      <c r="A98" s="20">
        <v>423</v>
      </c>
      <c r="B98" s="21" t="s">
        <v>55</v>
      </c>
      <c r="C98" s="21" t="s">
        <v>62</v>
      </c>
      <c r="D98" s="21" t="s">
        <v>57</v>
      </c>
      <c r="E98" s="23" t="s">
        <v>81</v>
      </c>
      <c r="F98" s="21" t="s">
        <v>82</v>
      </c>
      <c r="G98" s="21" t="s">
        <v>11</v>
      </c>
      <c r="H98" s="54" t="s">
        <v>12</v>
      </c>
      <c r="I98" s="46">
        <f t="shared" si="5"/>
        <v>8.3740000000000006</v>
      </c>
      <c r="J98" s="22">
        <v>7.9</v>
      </c>
    </row>
    <row r="99" spans="1:10" ht="36.75" thickBot="1" x14ac:dyDescent="0.3">
      <c r="A99" s="20">
        <v>427</v>
      </c>
      <c r="B99" s="21" t="s">
        <v>55</v>
      </c>
      <c r="C99" s="21" t="s">
        <v>64</v>
      </c>
      <c r="D99" s="21" t="s">
        <v>57</v>
      </c>
      <c r="E99" s="23" t="s">
        <v>81</v>
      </c>
      <c r="F99" s="21" t="s">
        <v>83</v>
      </c>
      <c r="G99" s="21" t="s">
        <v>11</v>
      </c>
      <c r="H99" s="54" t="s">
        <v>12</v>
      </c>
      <c r="I99" s="46">
        <f t="shared" si="5"/>
        <v>12.401999999999999</v>
      </c>
      <c r="J99" s="22">
        <v>11.7</v>
      </c>
    </row>
    <row r="100" spans="1:10" ht="36.75" thickBot="1" x14ac:dyDescent="0.3">
      <c r="A100" s="20">
        <v>417</v>
      </c>
      <c r="B100" s="21" t="s">
        <v>55</v>
      </c>
      <c r="C100" s="21" t="s">
        <v>66</v>
      </c>
      <c r="D100" s="21" t="s">
        <v>57</v>
      </c>
      <c r="E100" s="23" t="s">
        <v>81</v>
      </c>
      <c r="F100" s="21" t="s">
        <v>84</v>
      </c>
      <c r="G100" s="21" t="s">
        <v>11</v>
      </c>
      <c r="H100" s="54" t="s">
        <v>12</v>
      </c>
      <c r="I100" s="46">
        <f t="shared" si="5"/>
        <v>6.2009999999999996</v>
      </c>
      <c r="J100" s="22">
        <v>5.85</v>
      </c>
    </row>
    <row r="101" spans="1:10" ht="36.75" thickBot="1" x14ac:dyDescent="0.3">
      <c r="A101" s="20">
        <v>474</v>
      </c>
      <c r="B101" s="21" t="s">
        <v>55</v>
      </c>
      <c r="C101" s="21" t="s">
        <v>68</v>
      </c>
      <c r="D101" s="21" t="s">
        <v>57</v>
      </c>
      <c r="E101" s="23" t="s">
        <v>81</v>
      </c>
      <c r="F101" s="21" t="s">
        <v>72</v>
      </c>
      <c r="G101" s="21" t="s">
        <v>11</v>
      </c>
      <c r="H101" s="54" t="s">
        <v>12</v>
      </c>
      <c r="I101" s="46">
        <f t="shared" si="5"/>
        <v>7.8333999999999993</v>
      </c>
      <c r="J101" s="22">
        <v>7.39</v>
      </c>
    </row>
    <row r="102" spans="1:10" ht="36.75" thickBot="1" x14ac:dyDescent="0.3">
      <c r="A102" s="20">
        <v>421</v>
      </c>
      <c r="B102" s="21" t="s">
        <v>55</v>
      </c>
      <c r="C102" s="21" t="s">
        <v>69</v>
      </c>
      <c r="D102" s="21" t="s">
        <v>57</v>
      </c>
      <c r="E102" s="23" t="s">
        <v>81</v>
      </c>
      <c r="F102" s="21" t="s">
        <v>78</v>
      </c>
      <c r="G102" s="21" t="s">
        <v>11</v>
      </c>
      <c r="H102" s="54" t="s">
        <v>12</v>
      </c>
      <c r="I102" s="46">
        <f t="shared" si="5"/>
        <v>9.1690000000000005</v>
      </c>
      <c r="J102" s="22">
        <v>8.65</v>
      </c>
    </row>
    <row r="103" spans="1:10" ht="36.75" thickBot="1" x14ac:dyDescent="0.3">
      <c r="A103" s="24">
        <v>425</v>
      </c>
      <c r="B103" s="25" t="s">
        <v>55</v>
      </c>
      <c r="C103" s="25" t="s">
        <v>71</v>
      </c>
      <c r="D103" s="25" t="s">
        <v>57</v>
      </c>
      <c r="E103" s="26" t="s">
        <v>81</v>
      </c>
      <c r="F103" s="25" t="s">
        <v>85</v>
      </c>
      <c r="G103" s="25" t="s">
        <v>11</v>
      </c>
      <c r="H103" s="54" t="s">
        <v>12</v>
      </c>
      <c r="I103" s="47">
        <f t="shared" si="5"/>
        <v>11.8932</v>
      </c>
      <c r="J103" s="27">
        <v>11.22</v>
      </c>
    </row>
    <row r="104" spans="1:10" ht="36.75" thickBot="1" x14ac:dyDescent="0.3">
      <c r="A104" s="28">
        <v>429</v>
      </c>
      <c r="B104" s="29" t="s">
        <v>55</v>
      </c>
      <c r="C104" s="29" t="s">
        <v>73</v>
      </c>
      <c r="D104" s="29" t="s">
        <v>57</v>
      </c>
      <c r="E104" s="30" t="s">
        <v>81</v>
      </c>
      <c r="F104" s="29" t="s">
        <v>86</v>
      </c>
      <c r="G104" s="29" t="s">
        <v>11</v>
      </c>
      <c r="H104" s="54" t="s">
        <v>12</v>
      </c>
      <c r="I104" s="48">
        <f t="shared" si="5"/>
        <v>17.023599999999998</v>
      </c>
      <c r="J104" s="31">
        <v>16.059999999999999</v>
      </c>
    </row>
    <row r="105" spans="1:10" ht="36.75" thickBot="1" x14ac:dyDescent="0.3">
      <c r="A105" s="20">
        <v>416</v>
      </c>
      <c r="B105" s="21" t="s">
        <v>55</v>
      </c>
      <c r="C105" s="21" t="s">
        <v>56</v>
      </c>
      <c r="D105" s="21" t="s">
        <v>57</v>
      </c>
      <c r="E105" s="23" t="s">
        <v>81</v>
      </c>
      <c r="F105" s="21" t="s">
        <v>67</v>
      </c>
      <c r="G105" s="21" t="s">
        <v>25</v>
      </c>
      <c r="H105" s="53" t="s">
        <v>98</v>
      </c>
      <c r="I105" s="46">
        <f t="shared" si="5"/>
        <v>5.3529999999999998</v>
      </c>
      <c r="J105" s="22">
        <v>5.05</v>
      </c>
    </row>
    <row r="106" spans="1:10" ht="36.75" thickBot="1" x14ac:dyDescent="0.3">
      <c r="A106" s="20">
        <v>477</v>
      </c>
      <c r="B106" s="21" t="s">
        <v>55</v>
      </c>
      <c r="C106" s="21" t="s">
        <v>59</v>
      </c>
      <c r="D106" s="21" t="s">
        <v>57</v>
      </c>
      <c r="E106" s="23" t="s">
        <v>81</v>
      </c>
      <c r="F106" s="21" t="s">
        <v>61</v>
      </c>
      <c r="G106" s="21" t="s">
        <v>25</v>
      </c>
      <c r="H106" s="53" t="s">
        <v>98</v>
      </c>
      <c r="I106" s="46">
        <f t="shared" si="5"/>
        <v>6.625</v>
      </c>
      <c r="J106" s="22">
        <v>6.25</v>
      </c>
    </row>
    <row r="107" spans="1:10" ht="36.75" thickBot="1" x14ac:dyDescent="0.3">
      <c r="A107" s="20">
        <v>420</v>
      </c>
      <c r="B107" s="21" t="s">
        <v>55</v>
      </c>
      <c r="C107" s="21" t="s">
        <v>60</v>
      </c>
      <c r="D107" s="21" t="s">
        <v>57</v>
      </c>
      <c r="E107" s="23" t="s">
        <v>81</v>
      </c>
      <c r="F107" s="21" t="s">
        <v>87</v>
      </c>
      <c r="G107" s="21" t="s">
        <v>25</v>
      </c>
      <c r="H107" s="53" t="s">
        <v>98</v>
      </c>
      <c r="I107" s="46">
        <f t="shared" si="5"/>
        <v>7.5259999999999998</v>
      </c>
      <c r="J107" s="22">
        <v>7.1</v>
      </c>
    </row>
    <row r="108" spans="1:10" ht="36.75" thickBot="1" x14ac:dyDescent="0.3">
      <c r="A108" s="20">
        <v>424</v>
      </c>
      <c r="B108" s="21" t="s">
        <v>55</v>
      </c>
      <c r="C108" s="21" t="s">
        <v>62</v>
      </c>
      <c r="D108" s="21" t="s">
        <v>57</v>
      </c>
      <c r="E108" s="23" t="s">
        <v>81</v>
      </c>
      <c r="F108" s="21" t="s">
        <v>88</v>
      </c>
      <c r="G108" s="21" t="s">
        <v>25</v>
      </c>
      <c r="H108" s="53" t="s">
        <v>98</v>
      </c>
      <c r="I108" s="46">
        <f t="shared" si="5"/>
        <v>9.7519999999999989</v>
      </c>
      <c r="J108" s="22">
        <v>9.1999999999999993</v>
      </c>
    </row>
    <row r="109" spans="1:10" ht="36.75" thickBot="1" x14ac:dyDescent="0.3">
      <c r="A109" s="20">
        <v>428</v>
      </c>
      <c r="B109" s="21" t="s">
        <v>55</v>
      </c>
      <c r="C109" s="21" t="s">
        <v>64</v>
      </c>
      <c r="D109" s="21" t="s">
        <v>57</v>
      </c>
      <c r="E109" s="23" t="s">
        <v>81</v>
      </c>
      <c r="F109" s="21" t="s">
        <v>89</v>
      </c>
      <c r="G109" s="21" t="s">
        <v>25</v>
      </c>
      <c r="H109" s="53" t="s">
        <v>98</v>
      </c>
      <c r="I109" s="46">
        <f t="shared" si="5"/>
        <v>14.543200000000001</v>
      </c>
      <c r="J109" s="22">
        <v>13.72</v>
      </c>
    </row>
    <row r="110" spans="1:10" ht="36.75" thickBot="1" x14ac:dyDescent="0.3">
      <c r="A110" s="20">
        <v>418</v>
      </c>
      <c r="B110" s="21" t="s">
        <v>55</v>
      </c>
      <c r="C110" s="21" t="s">
        <v>66</v>
      </c>
      <c r="D110" s="21" t="s">
        <v>57</v>
      </c>
      <c r="E110" s="23" t="s">
        <v>81</v>
      </c>
      <c r="F110" s="21" t="s">
        <v>90</v>
      </c>
      <c r="G110" s="21" t="s">
        <v>25</v>
      </c>
      <c r="H110" s="53" t="s">
        <v>98</v>
      </c>
      <c r="I110" s="46">
        <f t="shared" si="5"/>
        <v>7.42</v>
      </c>
      <c r="J110" s="22">
        <v>7</v>
      </c>
    </row>
    <row r="111" spans="1:10" ht="36.75" thickBot="1" x14ac:dyDescent="0.3">
      <c r="A111" s="20">
        <v>475</v>
      </c>
      <c r="B111" s="21" t="s">
        <v>55</v>
      </c>
      <c r="C111" s="21" t="s">
        <v>68</v>
      </c>
      <c r="D111" s="21" t="s">
        <v>57</v>
      </c>
      <c r="E111" s="23" t="s">
        <v>81</v>
      </c>
      <c r="F111" s="21" t="s">
        <v>78</v>
      </c>
      <c r="G111" s="21" t="s">
        <v>25</v>
      </c>
      <c r="H111" s="53" t="s">
        <v>98</v>
      </c>
      <c r="I111" s="46">
        <f t="shared" si="5"/>
        <v>9.1372</v>
      </c>
      <c r="J111" s="22">
        <v>8.6199999999999992</v>
      </c>
    </row>
    <row r="112" spans="1:10" ht="36.75" thickBot="1" x14ac:dyDescent="0.3">
      <c r="A112" s="20">
        <v>422</v>
      </c>
      <c r="B112" s="21" t="s">
        <v>55</v>
      </c>
      <c r="C112" s="21" t="s">
        <v>69</v>
      </c>
      <c r="D112" s="21" t="s">
        <v>57</v>
      </c>
      <c r="E112" s="23" t="s">
        <v>81</v>
      </c>
      <c r="F112" s="21" t="s">
        <v>88</v>
      </c>
      <c r="G112" s="21" t="s">
        <v>25</v>
      </c>
      <c r="H112" s="53" t="s">
        <v>98</v>
      </c>
      <c r="I112" s="46">
        <f t="shared" si="5"/>
        <v>10.801399999999999</v>
      </c>
      <c r="J112" s="22">
        <v>10.19</v>
      </c>
    </row>
    <row r="113" spans="1:10" ht="36.75" thickBot="1" x14ac:dyDescent="0.3">
      <c r="A113" s="20">
        <v>426</v>
      </c>
      <c r="B113" s="21" t="s">
        <v>55</v>
      </c>
      <c r="C113" s="21" t="s">
        <v>71</v>
      </c>
      <c r="D113" s="21" t="s">
        <v>57</v>
      </c>
      <c r="E113" s="23" t="s">
        <v>81</v>
      </c>
      <c r="F113" s="21" t="s">
        <v>91</v>
      </c>
      <c r="G113" s="21" t="s">
        <v>25</v>
      </c>
      <c r="H113" s="53" t="s">
        <v>98</v>
      </c>
      <c r="I113" s="46">
        <f t="shared" si="5"/>
        <v>13.896599999999999</v>
      </c>
      <c r="J113" s="22">
        <v>13.11</v>
      </c>
    </row>
    <row r="114" spans="1:10" ht="36.75" thickBot="1" x14ac:dyDescent="0.3">
      <c r="A114" s="20">
        <v>430</v>
      </c>
      <c r="B114" s="21" t="s">
        <v>55</v>
      </c>
      <c r="C114" s="21" t="s">
        <v>73</v>
      </c>
      <c r="D114" s="21" t="s">
        <v>57</v>
      </c>
      <c r="E114" s="23" t="s">
        <v>81</v>
      </c>
      <c r="F114" s="21" t="s">
        <v>92</v>
      </c>
      <c r="G114" s="21" t="s">
        <v>25</v>
      </c>
      <c r="H114" s="53" t="s">
        <v>98</v>
      </c>
      <c r="I114" s="46">
        <f t="shared" si="5"/>
        <v>20.044599999999999</v>
      </c>
      <c r="J114" s="22">
        <v>18.91</v>
      </c>
    </row>
    <row r="115" spans="1:10" x14ac:dyDescent="0.25">
      <c r="A115" s="32"/>
      <c r="F115" s="34"/>
      <c r="G115" s="34"/>
      <c r="H115" s="34"/>
      <c r="I115" s="44"/>
    </row>
    <row r="116" spans="1:10" x14ac:dyDescent="0.25">
      <c r="A116" s="205" t="s">
        <v>93</v>
      </c>
      <c r="B116" s="205"/>
      <c r="F116" s="34"/>
      <c r="G116" s="34"/>
      <c r="H116" s="34"/>
      <c r="I116" s="44"/>
    </row>
    <row r="117" spans="1:10" x14ac:dyDescent="0.25">
      <c r="A117" s="35" t="s">
        <v>94</v>
      </c>
      <c r="F117" s="34"/>
      <c r="G117" s="206" t="s">
        <v>112</v>
      </c>
      <c r="H117" s="206"/>
      <c r="I117" s="206"/>
    </row>
    <row r="118" spans="1:10" x14ac:dyDescent="0.25">
      <c r="A118" s="205" t="s">
        <v>93</v>
      </c>
      <c r="B118" s="205"/>
      <c r="C118" s="34"/>
      <c r="E118" s="34"/>
      <c r="F118" s="34"/>
      <c r="G118" s="34"/>
      <c r="H118" s="34"/>
      <c r="I118" s="49"/>
      <c r="J118" s="44"/>
    </row>
    <row r="119" spans="1:10" x14ac:dyDescent="0.25">
      <c r="A119" s="33" t="s">
        <v>94</v>
      </c>
      <c r="C119" s="34"/>
      <c r="E119" s="34"/>
      <c r="F119" s="34"/>
      <c r="G119" s="206" t="s">
        <v>102</v>
      </c>
      <c r="H119" s="206"/>
      <c r="I119" s="206"/>
      <c r="J119" s="44"/>
    </row>
  </sheetData>
  <mergeCells count="45">
    <mergeCell ref="A1:I3"/>
    <mergeCell ref="A118:B118"/>
    <mergeCell ref="G119:I119"/>
    <mergeCell ref="A5:C5"/>
    <mergeCell ref="A6:A7"/>
    <mergeCell ref="B6:B7"/>
    <mergeCell ref="C6:C7"/>
    <mergeCell ref="A36:I36"/>
    <mergeCell ref="D6:D7"/>
    <mergeCell ref="E6:E7"/>
    <mergeCell ref="F6:F7"/>
    <mergeCell ref="G6:G7"/>
    <mergeCell ref="H6:H7"/>
    <mergeCell ref="I6:I7"/>
    <mergeCell ref="A65:A66"/>
    <mergeCell ref="B65:B66"/>
    <mergeCell ref="J6:J7"/>
    <mergeCell ref="A20:I20"/>
    <mergeCell ref="A21:C21"/>
    <mergeCell ref="D21:I21"/>
    <mergeCell ref="A35:I35"/>
    <mergeCell ref="C65:C66"/>
    <mergeCell ref="D65:D66"/>
    <mergeCell ref="E65:E66"/>
    <mergeCell ref="A37:I38"/>
    <mergeCell ref="A39:C39"/>
    <mergeCell ref="A50:C50"/>
    <mergeCell ref="E50:I50"/>
    <mergeCell ref="A64:D64"/>
    <mergeCell ref="A116:B116"/>
    <mergeCell ref="E93:E94"/>
    <mergeCell ref="G117:I117"/>
    <mergeCell ref="F65:F66"/>
    <mergeCell ref="G65:G66"/>
    <mergeCell ref="H65:H66"/>
    <mergeCell ref="I65:I66"/>
    <mergeCell ref="F93:F94"/>
    <mergeCell ref="G93:G94"/>
    <mergeCell ref="H93:H94"/>
    <mergeCell ref="I93:I94"/>
    <mergeCell ref="A92:D92"/>
    <mergeCell ref="A93:A94"/>
    <mergeCell ref="B93:B94"/>
    <mergeCell ref="C93:C94"/>
    <mergeCell ref="D93:D9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1"/>
  <sheetViews>
    <sheetView showGridLines="0" tabSelected="1" zoomScaleNormal="100" workbookViewId="0">
      <selection activeCell="L8" sqref="L8"/>
    </sheetView>
  </sheetViews>
  <sheetFormatPr defaultColWidth="7.5703125" defaultRowHeight="15" x14ac:dyDescent="0.25"/>
  <cols>
    <col min="1" max="1" width="7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9.5703125" customWidth="1"/>
    <col min="7" max="7" width="7.42578125" bestFit="1" customWidth="1"/>
    <col min="8" max="8" width="9.140625" bestFit="1" customWidth="1"/>
    <col min="9" max="9" width="8.28515625" bestFit="1" customWidth="1"/>
  </cols>
  <sheetData>
    <row r="1" spans="1:9" ht="15" customHeight="1" x14ac:dyDescent="0.25">
      <c r="B1" s="256"/>
      <c r="C1" s="256"/>
      <c r="D1" s="256"/>
      <c r="E1" s="256"/>
      <c r="F1" s="256"/>
      <c r="G1" s="256"/>
      <c r="H1" s="256"/>
      <c r="I1" s="256"/>
    </row>
    <row r="2" spans="1:9" ht="15" customHeight="1" x14ac:dyDescent="0.25">
      <c r="A2" s="256"/>
      <c r="B2" s="256"/>
      <c r="C2" s="256"/>
      <c r="D2" s="256"/>
      <c r="E2" s="256"/>
      <c r="F2" s="256"/>
      <c r="G2" s="256"/>
      <c r="H2" s="256"/>
      <c r="I2" s="256"/>
    </row>
    <row r="3" spans="1:9" ht="15" customHeight="1" x14ac:dyDescent="0.25">
      <c r="A3" s="256" t="s">
        <v>0</v>
      </c>
      <c r="B3" s="256"/>
      <c r="C3" s="256"/>
      <c r="D3" s="256"/>
      <c r="E3" s="256"/>
      <c r="F3" s="256"/>
      <c r="G3" s="256"/>
      <c r="H3" s="256"/>
      <c r="I3" s="256"/>
    </row>
    <row r="4" spans="1:9" ht="15" customHeight="1" x14ac:dyDescent="0.25">
      <c r="A4" s="256"/>
      <c r="B4" s="256"/>
      <c r="C4" s="256"/>
      <c r="D4" s="256"/>
      <c r="E4" s="256"/>
      <c r="F4" s="256"/>
      <c r="G4" s="256"/>
      <c r="H4" s="256"/>
      <c r="I4" s="256"/>
    </row>
    <row r="5" spans="1:9" ht="15" customHeight="1" x14ac:dyDescent="0.25">
      <c r="A5" s="256"/>
      <c r="B5" s="256"/>
      <c r="C5" s="256"/>
      <c r="D5" s="256"/>
      <c r="E5" s="256"/>
      <c r="F5" s="256"/>
      <c r="G5" s="256"/>
      <c r="H5" s="256"/>
      <c r="I5" s="256"/>
    </row>
    <row r="6" spans="1:9" x14ac:dyDescent="0.25">
      <c r="A6" s="241" t="s">
        <v>1</v>
      </c>
      <c r="B6" s="241"/>
      <c r="C6" s="242"/>
      <c r="D6" s="160"/>
      <c r="E6" s="161"/>
      <c r="F6" s="161"/>
      <c r="G6" s="161"/>
      <c r="H6" s="161"/>
      <c r="I6" s="161"/>
    </row>
    <row r="7" spans="1:9" x14ac:dyDescent="0.25">
      <c r="A7" s="244" t="s">
        <v>2</v>
      </c>
      <c r="B7" s="215" t="s">
        <v>3</v>
      </c>
      <c r="C7" s="215" t="s">
        <v>4</v>
      </c>
      <c r="D7" s="257" t="s">
        <v>136</v>
      </c>
      <c r="E7" s="214" t="s">
        <v>5</v>
      </c>
      <c r="F7" s="239" t="s">
        <v>6</v>
      </c>
      <c r="G7" s="239" t="s">
        <v>104</v>
      </c>
      <c r="H7" s="216" t="s">
        <v>7</v>
      </c>
      <c r="I7" s="218">
        <v>0</v>
      </c>
    </row>
    <row r="8" spans="1:9" ht="15.75" thickBot="1" x14ac:dyDescent="0.3">
      <c r="A8" s="244"/>
      <c r="B8" s="215"/>
      <c r="C8" s="215"/>
      <c r="D8" s="258"/>
      <c r="E8" s="215"/>
      <c r="F8" s="240"/>
      <c r="G8" s="240"/>
      <c r="H8" s="217"/>
      <c r="I8" s="219"/>
    </row>
    <row r="9" spans="1:9" ht="15.75" thickBot="1" x14ac:dyDescent="0.3">
      <c r="A9" s="67">
        <v>8</v>
      </c>
      <c r="B9" s="68" t="s">
        <v>8</v>
      </c>
      <c r="C9" s="68" t="s">
        <v>129</v>
      </c>
      <c r="D9" s="68" t="s">
        <v>10</v>
      </c>
      <c r="E9" s="68">
        <v>72</v>
      </c>
      <c r="F9" s="69" t="s">
        <v>12</v>
      </c>
      <c r="G9" s="67" t="s">
        <v>13</v>
      </c>
      <c r="H9" s="151">
        <f t="shared" ref="H9:H14" si="0">(I9*$I$7)+I9</f>
        <v>6.99</v>
      </c>
      <c r="I9" s="6">
        <v>6.99</v>
      </c>
    </row>
    <row r="10" spans="1:9" ht="15.75" thickBot="1" x14ac:dyDescent="0.3">
      <c r="A10" s="67">
        <v>310</v>
      </c>
      <c r="B10" s="68" t="s">
        <v>8</v>
      </c>
      <c r="C10" s="68" t="s">
        <v>129</v>
      </c>
      <c r="D10" s="68" t="s">
        <v>15</v>
      </c>
      <c r="E10" s="68">
        <v>60</v>
      </c>
      <c r="F10" s="69" t="s">
        <v>12</v>
      </c>
      <c r="G10" s="67" t="s">
        <v>16</v>
      </c>
      <c r="H10" s="151">
        <f t="shared" si="0"/>
        <v>9.74</v>
      </c>
      <c r="I10" s="144">
        <v>9.74</v>
      </c>
    </row>
    <row r="11" spans="1:9" ht="15.75" thickBot="1" x14ac:dyDescent="0.3">
      <c r="A11" s="67">
        <v>326</v>
      </c>
      <c r="B11" s="68" t="s">
        <v>8</v>
      </c>
      <c r="C11" s="68" t="s">
        <v>129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11.85</v>
      </c>
      <c r="I11" s="6">
        <v>11.85</v>
      </c>
    </row>
    <row r="12" spans="1:9" ht="15.75" thickBot="1" x14ac:dyDescent="0.3">
      <c r="A12" s="67">
        <v>13</v>
      </c>
      <c r="B12" s="68" t="s">
        <v>8</v>
      </c>
      <c r="C12" s="68" t="s">
        <v>129</v>
      </c>
      <c r="D12" s="68" t="s">
        <v>10</v>
      </c>
      <c r="E12" s="68">
        <v>50</v>
      </c>
      <c r="F12" s="69" t="s">
        <v>12</v>
      </c>
      <c r="G12" s="67" t="s">
        <v>19</v>
      </c>
      <c r="H12" s="151">
        <f t="shared" si="0"/>
        <v>10.88</v>
      </c>
      <c r="I12" s="144">
        <v>10.88</v>
      </c>
    </row>
    <row r="13" spans="1:9" ht="15.75" thickBot="1" x14ac:dyDescent="0.3">
      <c r="A13" s="67">
        <v>313</v>
      </c>
      <c r="B13" s="68" t="s">
        <v>8</v>
      </c>
      <c r="C13" s="68" t="s">
        <v>129</v>
      </c>
      <c r="D13" s="68" t="s">
        <v>15</v>
      </c>
      <c r="E13" s="68">
        <v>50</v>
      </c>
      <c r="F13" s="69" t="s">
        <v>12</v>
      </c>
      <c r="G13" s="67" t="s">
        <v>22</v>
      </c>
      <c r="H13" s="151">
        <f t="shared" si="0"/>
        <v>11.98</v>
      </c>
      <c r="I13" s="144">
        <v>11.98</v>
      </c>
    </row>
    <row r="14" spans="1:9" x14ac:dyDescent="0.25">
      <c r="A14" s="67">
        <v>329</v>
      </c>
      <c r="B14" s="68" t="s">
        <v>8</v>
      </c>
      <c r="C14" s="68" t="s">
        <v>129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14.22</v>
      </c>
      <c r="I14" s="97">
        <v>14.22</v>
      </c>
    </row>
    <row r="15" spans="1:9" x14ac:dyDescent="0.25">
      <c r="A15" s="108"/>
      <c r="B15" s="108"/>
      <c r="C15" s="108"/>
    </row>
    <row r="16" spans="1:9" x14ac:dyDescent="0.25">
      <c r="A16" s="243" t="s">
        <v>28</v>
      </c>
      <c r="B16" s="243"/>
      <c r="C16" s="243"/>
      <c r="D16" s="140"/>
      <c r="E16" s="140"/>
      <c r="F16" s="140"/>
      <c r="G16" s="140"/>
      <c r="H16" s="140"/>
      <c r="I16" s="98"/>
    </row>
    <row r="17" spans="1:9" ht="15.75" thickBot="1" x14ac:dyDescent="0.3">
      <c r="A17" s="67">
        <v>85</v>
      </c>
      <c r="B17" s="68" t="s">
        <v>29</v>
      </c>
      <c r="C17" s="68" t="s">
        <v>30</v>
      </c>
      <c r="D17" s="100" t="s">
        <v>10</v>
      </c>
      <c r="E17" s="100">
        <v>36</v>
      </c>
      <c r="F17" s="101" t="s">
        <v>12</v>
      </c>
      <c r="G17" s="102" t="s">
        <v>31</v>
      </c>
      <c r="H17" s="153">
        <f>(I17*$I$7)+I17</f>
        <v>15.44</v>
      </c>
      <c r="I17" s="144">
        <v>15.44</v>
      </c>
    </row>
    <row r="18" spans="1:9" ht="15.75" thickBot="1" x14ac:dyDescent="0.3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151">
        <f t="shared" ref="H18:H22" si="1">(I18*$I$7)+I18</f>
        <v>18.86</v>
      </c>
      <c r="I18" s="144">
        <v>18.86</v>
      </c>
    </row>
    <row r="19" spans="1:9" ht="15.75" thickBot="1" x14ac:dyDescent="0.3">
      <c r="A19" s="67">
        <v>279</v>
      </c>
      <c r="B19" s="68" t="s">
        <v>29</v>
      </c>
      <c r="C19" s="93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151">
        <f t="shared" si="1"/>
        <v>19.88</v>
      </c>
      <c r="I19" s="144">
        <v>19.88</v>
      </c>
    </row>
    <row r="20" spans="1:9" ht="15.75" thickBot="1" x14ac:dyDescent="0.3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22.8</v>
      </c>
      <c r="I20" s="6">
        <v>22.8</v>
      </c>
    </row>
    <row r="21" spans="1:9" ht="15.75" thickBot="1" x14ac:dyDescent="0.3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24.86</v>
      </c>
      <c r="I21" s="6">
        <v>24.86</v>
      </c>
    </row>
    <row r="22" spans="1:9" ht="15.75" thickBot="1" x14ac:dyDescent="0.3">
      <c r="A22" s="67">
        <v>286</v>
      </c>
      <c r="B22" s="93" t="s">
        <v>29</v>
      </c>
      <c r="C22" s="93" t="s">
        <v>30</v>
      </c>
      <c r="D22" s="93" t="s">
        <v>18</v>
      </c>
      <c r="E22" s="93">
        <v>25</v>
      </c>
      <c r="F22" s="94" t="s">
        <v>12</v>
      </c>
      <c r="G22" s="92" t="s">
        <v>36</v>
      </c>
      <c r="H22" s="95">
        <f t="shared" si="1"/>
        <v>26.86</v>
      </c>
      <c r="I22" s="6">
        <v>26.86</v>
      </c>
    </row>
    <row r="23" spans="1:9" x14ac:dyDescent="0.25">
      <c r="A23" s="99"/>
      <c r="B23" s="108"/>
      <c r="C23" s="108"/>
      <c r="D23" s="104"/>
      <c r="E23" s="104"/>
      <c r="F23" s="104"/>
      <c r="G23" s="104"/>
      <c r="H23" s="104"/>
    </row>
    <row r="24" spans="1:9" ht="15.75" thickBot="1" x14ac:dyDescent="0.3">
      <c r="A24" s="238" t="s">
        <v>40</v>
      </c>
      <c r="B24" s="234"/>
      <c r="C24" s="235"/>
      <c r="D24" s="109"/>
      <c r="E24" s="105"/>
      <c r="F24" s="105"/>
      <c r="G24" s="106"/>
      <c r="H24" s="107"/>
    </row>
    <row r="25" spans="1:9" ht="15.75" thickBot="1" x14ac:dyDescent="0.3">
      <c r="A25" s="67">
        <v>1</v>
      </c>
      <c r="B25" s="68" t="s">
        <v>41</v>
      </c>
      <c r="C25" s="68" t="s">
        <v>129</v>
      </c>
      <c r="D25" s="100" t="s">
        <v>10</v>
      </c>
      <c r="E25" s="100">
        <v>1000</v>
      </c>
      <c r="F25" s="101" t="s">
        <v>12</v>
      </c>
      <c r="G25" s="102"/>
      <c r="H25" s="153">
        <f>(I25*$I$7)+I25</f>
        <v>0.38</v>
      </c>
      <c r="I25" s="146">
        <v>0.38</v>
      </c>
    </row>
    <row r="26" spans="1:9" ht="15.75" thickBot="1" x14ac:dyDescent="0.3">
      <c r="A26" s="67">
        <v>2</v>
      </c>
      <c r="B26" s="68" t="s">
        <v>43</v>
      </c>
      <c r="C26" s="68" t="s">
        <v>129</v>
      </c>
      <c r="D26" s="68" t="s">
        <v>15</v>
      </c>
      <c r="E26" s="68">
        <v>1000</v>
      </c>
      <c r="F26" s="69" t="s">
        <v>12</v>
      </c>
      <c r="G26" s="67"/>
      <c r="H26" s="151">
        <f t="shared" ref="H26:H27" si="2">(I26*$I$7)+I26</f>
        <v>0.4</v>
      </c>
      <c r="I26" s="147">
        <v>0.4</v>
      </c>
    </row>
    <row r="27" spans="1:9" x14ac:dyDescent="0.25">
      <c r="A27" s="92">
        <v>3</v>
      </c>
      <c r="B27" s="93" t="s">
        <v>44</v>
      </c>
      <c r="C27" s="68" t="s">
        <v>129</v>
      </c>
      <c r="D27" s="93" t="s">
        <v>18</v>
      </c>
      <c r="E27" s="93">
        <v>1000</v>
      </c>
      <c r="F27" s="94" t="s">
        <v>12</v>
      </c>
      <c r="G27" s="92"/>
      <c r="H27" s="152">
        <f t="shared" si="2"/>
        <v>0.42</v>
      </c>
      <c r="I27" s="150">
        <v>0.42</v>
      </c>
    </row>
    <row r="28" spans="1:9" x14ac:dyDescent="0.25">
      <c r="A28" s="108"/>
      <c r="B28" s="108"/>
      <c r="C28" s="104"/>
      <c r="D28" s="104"/>
      <c r="E28" s="104"/>
      <c r="F28" s="104"/>
      <c r="G28" s="104"/>
      <c r="H28" s="104"/>
      <c r="I28" s="104"/>
    </row>
    <row r="29" spans="1:9" ht="15" customHeight="1" x14ac:dyDescent="0.25">
      <c r="A29" s="209" t="s">
        <v>123</v>
      </c>
      <c r="B29" s="210"/>
      <c r="C29" s="141" t="s">
        <v>125</v>
      </c>
      <c r="D29" s="140"/>
      <c r="E29" s="154"/>
      <c r="F29" s="154"/>
      <c r="G29" s="154"/>
      <c r="H29" s="154"/>
      <c r="I29" s="98"/>
    </row>
    <row r="30" spans="1:9" ht="15.75" thickBot="1" x14ac:dyDescent="0.3">
      <c r="A30" s="67">
        <v>1586</v>
      </c>
      <c r="B30" s="68" t="s">
        <v>121</v>
      </c>
      <c r="C30" s="100" t="s">
        <v>120</v>
      </c>
      <c r="D30" s="100"/>
      <c r="E30" s="100">
        <v>12</v>
      </c>
      <c r="F30" s="101" t="s">
        <v>12</v>
      </c>
      <c r="G30" s="102"/>
      <c r="H30" s="103">
        <f>(I30*$I$7)+I30</f>
        <v>49.5</v>
      </c>
      <c r="I30" s="39">
        <v>49.5</v>
      </c>
    </row>
    <row r="31" spans="1:9" ht="15.75" thickBot="1" x14ac:dyDescent="0.3">
      <c r="A31" s="67">
        <v>1797</v>
      </c>
      <c r="B31" s="68" t="s">
        <v>122</v>
      </c>
      <c r="C31" s="68" t="s">
        <v>120</v>
      </c>
      <c r="D31" s="68"/>
      <c r="E31" s="68">
        <v>12</v>
      </c>
      <c r="F31" s="69" t="s">
        <v>12</v>
      </c>
      <c r="G31" s="67"/>
      <c r="H31" s="70">
        <f>(I31*$I$7)+I31</f>
        <v>48.5</v>
      </c>
      <c r="I31" s="39">
        <v>48.5</v>
      </c>
    </row>
    <row r="32" spans="1:9" x14ac:dyDescent="0.25">
      <c r="A32" s="136"/>
      <c r="B32" s="137"/>
      <c r="C32" s="133"/>
      <c r="D32" s="133"/>
      <c r="E32" s="133"/>
      <c r="F32" s="134"/>
      <c r="G32" s="132"/>
      <c r="H32" s="135"/>
      <c r="I32" s="138"/>
    </row>
    <row r="33" spans="1:9" ht="15" customHeight="1" x14ac:dyDescent="0.25">
      <c r="A33" s="209" t="s">
        <v>124</v>
      </c>
      <c r="B33" s="210"/>
      <c r="C33" s="141" t="s">
        <v>126</v>
      </c>
      <c r="D33" s="140"/>
      <c r="E33" s="154"/>
      <c r="F33" s="154"/>
      <c r="G33" s="154"/>
      <c r="H33" s="154"/>
      <c r="I33" s="98"/>
    </row>
    <row r="34" spans="1:9" ht="15.75" thickBot="1" x14ac:dyDescent="0.3">
      <c r="A34" s="67">
        <v>1588</v>
      </c>
      <c r="B34" s="68" t="s">
        <v>50</v>
      </c>
      <c r="C34" s="100" t="s">
        <v>127</v>
      </c>
      <c r="D34" s="68"/>
      <c r="E34" s="68">
        <v>150</v>
      </c>
      <c r="F34" s="69" t="s">
        <v>12</v>
      </c>
      <c r="G34" s="67"/>
      <c r="H34" s="151">
        <f>(I34*$I$7)+I34</f>
        <v>5.18</v>
      </c>
      <c r="I34" s="144">
        <v>5.18</v>
      </c>
    </row>
    <row r="35" spans="1:9" x14ac:dyDescent="0.25">
      <c r="A35" s="92">
        <v>1587</v>
      </c>
      <c r="B35" s="93" t="s">
        <v>50</v>
      </c>
      <c r="C35" s="93" t="s">
        <v>128</v>
      </c>
      <c r="D35" s="93"/>
      <c r="E35" s="93">
        <v>300</v>
      </c>
      <c r="F35" s="94" t="s">
        <v>12</v>
      </c>
      <c r="G35" s="92"/>
      <c r="H35" s="95">
        <f>(I35*$I$7)+I35</f>
        <v>2.8</v>
      </c>
      <c r="I35" s="96">
        <v>2.8</v>
      </c>
    </row>
    <row r="36" spans="1:9" x14ac:dyDescent="0.25">
      <c r="A36" s="108"/>
      <c r="B36" s="108"/>
      <c r="C36" s="108"/>
      <c r="D36" s="108"/>
      <c r="E36" s="104"/>
      <c r="F36" s="104"/>
      <c r="G36" s="104"/>
      <c r="H36" s="104"/>
      <c r="I36" s="104"/>
    </row>
    <row r="37" spans="1:9" x14ac:dyDescent="0.25">
      <c r="A37" s="211" t="s">
        <v>52</v>
      </c>
      <c r="B37" s="212"/>
      <c r="C37" s="212"/>
      <c r="D37" s="213"/>
      <c r="E37" s="113"/>
      <c r="F37" s="112"/>
      <c r="G37" s="112"/>
      <c r="H37" s="112"/>
      <c r="I37" s="98"/>
    </row>
    <row r="38" spans="1:9" x14ac:dyDescent="0.25">
      <c r="A38" s="156">
        <v>1644</v>
      </c>
      <c r="B38" s="72" t="s">
        <v>55</v>
      </c>
      <c r="C38" s="72" t="s">
        <v>131</v>
      </c>
      <c r="D38" s="72" t="s">
        <v>57</v>
      </c>
      <c r="E38" s="157" t="s">
        <v>133</v>
      </c>
      <c r="F38" s="111" t="s">
        <v>12</v>
      </c>
      <c r="G38" s="112"/>
      <c r="H38" s="103">
        <f>(I38*$I$7)+I38</f>
        <v>3.66</v>
      </c>
      <c r="I38" s="155">
        <v>3.66</v>
      </c>
    </row>
    <row r="39" spans="1:9" ht="15.75" thickBot="1" x14ac:dyDescent="0.3">
      <c r="A39" s="72">
        <v>1589</v>
      </c>
      <c r="B39" s="72" t="s">
        <v>55</v>
      </c>
      <c r="C39" s="72" t="s">
        <v>56</v>
      </c>
      <c r="D39" s="72" t="s">
        <v>57</v>
      </c>
      <c r="E39" s="110" t="s">
        <v>75</v>
      </c>
      <c r="F39" s="111" t="s">
        <v>12</v>
      </c>
      <c r="G39" s="111"/>
      <c r="H39" s="103">
        <f>(I39*$I$7)+I39</f>
        <v>3.97</v>
      </c>
      <c r="I39" s="31">
        <v>3.97</v>
      </c>
    </row>
    <row r="40" spans="1:9" ht="15.75" thickBot="1" x14ac:dyDescent="0.3">
      <c r="A40" s="72">
        <v>1590</v>
      </c>
      <c r="B40" s="72" t="s">
        <v>55</v>
      </c>
      <c r="C40" s="72" t="s">
        <v>59</v>
      </c>
      <c r="D40" s="72" t="s">
        <v>57</v>
      </c>
      <c r="E40" s="72" t="s">
        <v>75</v>
      </c>
      <c r="F40" s="73" t="s">
        <v>12</v>
      </c>
      <c r="G40" s="73"/>
      <c r="H40" s="151">
        <f t="shared" ref="H40:H49" si="3">(I40*$I$7)+I40</f>
        <v>4.91</v>
      </c>
      <c r="I40" s="22">
        <v>4.91</v>
      </c>
    </row>
    <row r="41" spans="1:9" ht="15.75" thickBot="1" x14ac:dyDescent="0.3">
      <c r="A41" s="72">
        <v>1592</v>
      </c>
      <c r="B41" s="72" t="s">
        <v>55</v>
      </c>
      <c r="C41" s="72" t="s">
        <v>60</v>
      </c>
      <c r="D41" s="72" t="s">
        <v>57</v>
      </c>
      <c r="E41" s="72" t="s">
        <v>61</v>
      </c>
      <c r="F41" s="73" t="s">
        <v>12</v>
      </c>
      <c r="G41" s="73"/>
      <c r="H41" s="70">
        <f t="shared" si="3"/>
        <v>5.63</v>
      </c>
      <c r="I41" s="22">
        <v>5.63</v>
      </c>
    </row>
    <row r="42" spans="1:9" ht="15.75" thickBot="1" x14ac:dyDescent="0.3">
      <c r="A42" s="72">
        <v>1593</v>
      </c>
      <c r="B42" s="72" t="s">
        <v>55</v>
      </c>
      <c r="C42" s="72" t="s">
        <v>62</v>
      </c>
      <c r="D42" s="72" t="s">
        <v>57</v>
      </c>
      <c r="E42" s="72" t="s">
        <v>72</v>
      </c>
      <c r="F42" s="73" t="s">
        <v>12</v>
      </c>
      <c r="G42" s="73"/>
      <c r="H42" s="70">
        <f t="shared" si="3"/>
        <v>7.25</v>
      </c>
      <c r="I42" s="22">
        <v>7.25</v>
      </c>
    </row>
    <row r="43" spans="1:9" ht="15.75" thickBot="1" x14ac:dyDescent="0.3">
      <c r="A43" s="72">
        <v>1594</v>
      </c>
      <c r="B43" s="72" t="s">
        <v>55</v>
      </c>
      <c r="C43" s="72" t="s">
        <v>64</v>
      </c>
      <c r="D43" s="72" t="s">
        <v>57</v>
      </c>
      <c r="E43" s="72" t="s">
        <v>65</v>
      </c>
      <c r="F43" s="73" t="s">
        <v>12</v>
      </c>
      <c r="G43" s="73"/>
      <c r="H43" s="70">
        <f t="shared" si="3"/>
        <v>10.74</v>
      </c>
      <c r="I43" s="22">
        <v>10.74</v>
      </c>
    </row>
    <row r="44" spans="1:9" x14ac:dyDescent="0.25">
      <c r="A44" s="72">
        <v>1973</v>
      </c>
      <c r="B44" s="72" t="s">
        <v>55</v>
      </c>
      <c r="C44" s="72" t="s">
        <v>132</v>
      </c>
      <c r="D44" s="72" t="s">
        <v>57</v>
      </c>
      <c r="E44" s="157" t="s">
        <v>134</v>
      </c>
      <c r="F44" s="111" t="s">
        <v>12</v>
      </c>
      <c r="G44" s="73"/>
      <c r="H44" s="70">
        <f t="shared" si="3"/>
        <v>4.96</v>
      </c>
      <c r="I44" s="70">
        <v>4.96</v>
      </c>
    </row>
    <row r="45" spans="1:9" ht="15.75" thickBot="1" x14ac:dyDescent="0.3">
      <c r="A45" s="72">
        <v>1595</v>
      </c>
      <c r="B45" s="72" t="s">
        <v>55</v>
      </c>
      <c r="C45" s="72" t="s">
        <v>66</v>
      </c>
      <c r="D45" s="72" t="s">
        <v>57</v>
      </c>
      <c r="E45" s="72" t="s">
        <v>67</v>
      </c>
      <c r="F45" s="73" t="s">
        <v>12</v>
      </c>
      <c r="G45" s="73"/>
      <c r="H45" s="70">
        <f t="shared" si="3"/>
        <v>5.38</v>
      </c>
      <c r="I45" s="22">
        <v>5.38</v>
      </c>
    </row>
    <row r="46" spans="1:9" ht="15.75" thickBot="1" x14ac:dyDescent="0.3">
      <c r="A46" s="72">
        <v>1596</v>
      </c>
      <c r="B46" s="72" t="s">
        <v>55</v>
      </c>
      <c r="C46" s="72" t="s">
        <v>68</v>
      </c>
      <c r="D46" s="72" t="s">
        <v>57</v>
      </c>
      <c r="E46" s="72" t="s">
        <v>61</v>
      </c>
      <c r="F46" s="73" t="s">
        <v>12</v>
      </c>
      <c r="G46" s="73"/>
      <c r="H46" s="70">
        <f t="shared" si="3"/>
        <v>6.78</v>
      </c>
      <c r="I46" s="22">
        <v>6.78</v>
      </c>
    </row>
    <row r="47" spans="1:9" ht="15.75" thickBot="1" x14ac:dyDescent="0.3">
      <c r="A47" s="72">
        <v>1597</v>
      </c>
      <c r="B47" s="72" t="s">
        <v>55</v>
      </c>
      <c r="C47" s="72" t="s">
        <v>69</v>
      </c>
      <c r="D47" s="72" t="s">
        <v>57</v>
      </c>
      <c r="E47" s="72" t="s">
        <v>70</v>
      </c>
      <c r="F47" s="73" t="s">
        <v>12</v>
      </c>
      <c r="G47" s="73"/>
      <c r="H47" s="70">
        <f t="shared" si="3"/>
        <v>7.94</v>
      </c>
      <c r="I47" s="22">
        <v>7.94</v>
      </c>
    </row>
    <row r="48" spans="1:9" ht="15.75" thickBot="1" x14ac:dyDescent="0.3">
      <c r="A48" s="72">
        <v>1598</v>
      </c>
      <c r="B48" s="72" t="s">
        <v>55</v>
      </c>
      <c r="C48" s="72" t="s">
        <v>71</v>
      </c>
      <c r="D48" s="72" t="s">
        <v>57</v>
      </c>
      <c r="E48" s="72" t="s">
        <v>78</v>
      </c>
      <c r="F48" s="73" t="s">
        <v>12</v>
      </c>
      <c r="G48" s="73"/>
      <c r="H48" s="70">
        <f t="shared" si="3"/>
        <v>10.3</v>
      </c>
      <c r="I48" s="27">
        <v>10.3</v>
      </c>
    </row>
    <row r="49" spans="1:9" ht="15.75" thickBot="1" x14ac:dyDescent="0.3">
      <c r="A49" s="114">
        <v>1599</v>
      </c>
      <c r="B49" s="114" t="s">
        <v>55</v>
      </c>
      <c r="C49" s="114" t="s">
        <v>73</v>
      </c>
      <c r="D49" s="114" t="s">
        <v>57</v>
      </c>
      <c r="E49" s="114" t="s">
        <v>74</v>
      </c>
      <c r="F49" s="115" t="s">
        <v>12</v>
      </c>
      <c r="G49" s="115"/>
      <c r="H49" s="95">
        <f t="shared" si="3"/>
        <v>14.74</v>
      </c>
      <c r="I49" s="31">
        <v>14.74</v>
      </c>
    </row>
    <row r="50" spans="1:9" x14ac:dyDescent="0.25">
      <c r="A50" s="108"/>
      <c r="B50" s="108"/>
      <c r="C50" s="108"/>
      <c r="D50" s="108"/>
      <c r="E50" s="104"/>
      <c r="F50" s="104"/>
      <c r="G50" s="104"/>
      <c r="H50" s="104"/>
    </row>
    <row r="51" spans="1:9" x14ac:dyDescent="0.25">
      <c r="A51" s="220" t="s">
        <v>80</v>
      </c>
      <c r="B51" s="220"/>
      <c r="C51" s="220"/>
      <c r="D51" s="221"/>
      <c r="E51" s="113"/>
      <c r="F51" s="112"/>
      <c r="G51" s="112"/>
      <c r="H51" s="112"/>
      <c r="I51" s="112"/>
    </row>
    <row r="52" spans="1:9" ht="15.75" thickBot="1" x14ac:dyDescent="0.3">
      <c r="A52" s="72">
        <v>1616</v>
      </c>
      <c r="B52" s="72" t="s">
        <v>55</v>
      </c>
      <c r="C52" s="72" t="s">
        <v>56</v>
      </c>
      <c r="D52" s="72" t="s">
        <v>57</v>
      </c>
      <c r="E52" s="110" t="s">
        <v>75</v>
      </c>
      <c r="F52" s="111" t="s">
        <v>12</v>
      </c>
      <c r="G52" s="116"/>
      <c r="H52" s="103">
        <f t="shared" ref="H52:H61" si="4">(I52*$I$7)+I52</f>
        <v>3.85</v>
      </c>
      <c r="I52" s="22">
        <v>3.85</v>
      </c>
    </row>
    <row r="53" spans="1:9" ht="15.75" thickBot="1" x14ac:dyDescent="0.3">
      <c r="A53" s="72">
        <v>1617</v>
      </c>
      <c r="B53" s="72" t="s">
        <v>55</v>
      </c>
      <c r="C53" s="72" t="s">
        <v>59</v>
      </c>
      <c r="D53" s="72" t="s">
        <v>57</v>
      </c>
      <c r="E53" s="72" t="s">
        <v>103</v>
      </c>
      <c r="F53" s="73" t="s">
        <v>12</v>
      </c>
      <c r="G53" s="75"/>
      <c r="H53" s="70">
        <f t="shared" si="4"/>
        <v>4.76</v>
      </c>
      <c r="I53" s="22">
        <v>4.76</v>
      </c>
    </row>
    <row r="54" spans="1:9" ht="15.75" thickBot="1" x14ac:dyDescent="0.3">
      <c r="A54" s="72">
        <v>1618</v>
      </c>
      <c r="B54" s="72" t="s">
        <v>55</v>
      </c>
      <c r="C54" s="72" t="s">
        <v>60</v>
      </c>
      <c r="D54" s="72" t="s">
        <v>57</v>
      </c>
      <c r="E54" s="72" t="s">
        <v>72</v>
      </c>
      <c r="F54" s="73" t="s">
        <v>12</v>
      </c>
      <c r="G54" s="75"/>
      <c r="H54" s="70">
        <f t="shared" si="4"/>
        <v>5.47</v>
      </c>
      <c r="I54" s="22">
        <v>5.47</v>
      </c>
    </row>
    <row r="55" spans="1:9" ht="15.75" thickBot="1" x14ac:dyDescent="0.3">
      <c r="A55" s="72">
        <v>1619</v>
      </c>
      <c r="B55" s="72" t="s">
        <v>55</v>
      </c>
      <c r="C55" s="72" t="s">
        <v>62</v>
      </c>
      <c r="D55" s="72" t="s">
        <v>57</v>
      </c>
      <c r="E55" s="72" t="s">
        <v>82</v>
      </c>
      <c r="F55" s="73" t="s">
        <v>12</v>
      </c>
      <c r="G55" s="75"/>
      <c r="H55" s="70">
        <f t="shared" si="4"/>
        <v>7.03</v>
      </c>
      <c r="I55" s="22">
        <v>7.03</v>
      </c>
    </row>
    <row r="56" spans="1:9" ht="15.75" thickBot="1" x14ac:dyDescent="0.3">
      <c r="A56" s="72">
        <v>1620</v>
      </c>
      <c r="B56" s="72" t="s">
        <v>55</v>
      </c>
      <c r="C56" s="72" t="s">
        <v>64</v>
      </c>
      <c r="D56" s="72" t="s">
        <v>57</v>
      </c>
      <c r="E56" s="72" t="s">
        <v>83</v>
      </c>
      <c r="F56" s="73" t="s">
        <v>12</v>
      </c>
      <c r="G56" s="75"/>
      <c r="H56" s="70">
        <f t="shared" si="4"/>
        <v>10.42</v>
      </c>
      <c r="I56" s="22">
        <v>10.42</v>
      </c>
    </row>
    <row r="57" spans="1:9" ht="15.75" thickBot="1" x14ac:dyDescent="0.3">
      <c r="A57" s="72">
        <v>1611</v>
      </c>
      <c r="B57" s="72" t="s">
        <v>55</v>
      </c>
      <c r="C57" s="72" t="s">
        <v>66</v>
      </c>
      <c r="D57" s="72" t="s">
        <v>57</v>
      </c>
      <c r="E57" s="72" t="s">
        <v>84</v>
      </c>
      <c r="F57" s="73" t="s">
        <v>12</v>
      </c>
      <c r="G57" s="75"/>
      <c r="H57" s="70">
        <f t="shared" si="4"/>
        <v>5.21</v>
      </c>
      <c r="I57" s="22">
        <v>5.21</v>
      </c>
    </row>
    <row r="58" spans="1:9" ht="15.75" thickBot="1" x14ac:dyDescent="0.3">
      <c r="A58" s="72">
        <v>1612</v>
      </c>
      <c r="B58" s="72" t="s">
        <v>55</v>
      </c>
      <c r="C58" s="72" t="s">
        <v>68</v>
      </c>
      <c r="D58" s="72" t="s">
        <v>57</v>
      </c>
      <c r="E58" s="72" t="s">
        <v>72</v>
      </c>
      <c r="F58" s="73" t="s">
        <v>12</v>
      </c>
      <c r="G58" s="75"/>
      <c r="H58" s="70">
        <f t="shared" si="4"/>
        <v>6.58</v>
      </c>
      <c r="I58" s="22">
        <v>6.58</v>
      </c>
    </row>
    <row r="59" spans="1:9" ht="15.75" thickBot="1" x14ac:dyDescent="0.3">
      <c r="A59" s="72">
        <v>1613</v>
      </c>
      <c r="B59" s="72" t="s">
        <v>55</v>
      </c>
      <c r="C59" s="72" t="s">
        <v>69</v>
      </c>
      <c r="D59" s="72" t="s">
        <v>57</v>
      </c>
      <c r="E59" s="72" t="s">
        <v>78</v>
      </c>
      <c r="F59" s="73" t="s">
        <v>12</v>
      </c>
      <c r="G59" s="75"/>
      <c r="H59" s="70">
        <f t="shared" si="4"/>
        <v>7.7</v>
      </c>
      <c r="I59" s="22">
        <v>7.7</v>
      </c>
    </row>
    <row r="60" spans="1:9" ht="15.75" thickBot="1" x14ac:dyDescent="0.3">
      <c r="A60" s="72">
        <v>1614</v>
      </c>
      <c r="B60" s="72" t="s">
        <v>55</v>
      </c>
      <c r="C60" s="72" t="s">
        <v>71</v>
      </c>
      <c r="D60" s="72" t="s">
        <v>57</v>
      </c>
      <c r="E60" s="72" t="s">
        <v>85</v>
      </c>
      <c r="F60" s="73" t="s">
        <v>12</v>
      </c>
      <c r="G60" s="75"/>
      <c r="H60" s="70">
        <f t="shared" si="4"/>
        <v>9.99</v>
      </c>
      <c r="I60" s="27">
        <v>9.99</v>
      </c>
    </row>
    <row r="61" spans="1:9" ht="15.75" thickBot="1" x14ac:dyDescent="0.3">
      <c r="A61" s="72">
        <v>1615</v>
      </c>
      <c r="B61" s="72" t="s">
        <v>55</v>
      </c>
      <c r="C61" s="72" t="s">
        <v>73</v>
      </c>
      <c r="D61" s="72" t="s">
        <v>57</v>
      </c>
      <c r="E61" s="72" t="s">
        <v>86</v>
      </c>
      <c r="F61" s="73" t="s">
        <v>12</v>
      </c>
      <c r="G61" s="75"/>
      <c r="H61" s="70">
        <f t="shared" si="4"/>
        <v>14.3</v>
      </c>
      <c r="I61" s="31">
        <v>14.3</v>
      </c>
    </row>
    <row r="62" spans="1:9" x14ac:dyDescent="0.25">
      <c r="A62" s="85"/>
      <c r="B62" s="85"/>
      <c r="C62" s="85"/>
      <c r="D62" s="85"/>
      <c r="E62" s="85"/>
      <c r="F62" s="86"/>
      <c r="G62" s="87"/>
      <c r="H62" s="88"/>
      <c r="I62" s="89"/>
    </row>
    <row r="63" spans="1:9" ht="15" customHeight="1" x14ac:dyDescent="0.25">
      <c r="B63" s="256"/>
      <c r="C63" s="256"/>
      <c r="D63" s="256"/>
      <c r="E63" s="256"/>
      <c r="F63" s="256"/>
      <c r="G63" s="256"/>
      <c r="H63" s="256"/>
      <c r="I63" s="256"/>
    </row>
    <row r="64" spans="1:9" ht="15" customHeight="1" x14ac:dyDescent="0.25">
      <c r="A64" s="256"/>
      <c r="B64" s="256"/>
      <c r="C64" s="256"/>
      <c r="D64" s="256"/>
      <c r="E64" s="256"/>
      <c r="F64" s="256"/>
      <c r="G64" s="256"/>
      <c r="H64" s="256"/>
      <c r="I64" s="256"/>
    </row>
    <row r="65" spans="1:9" ht="15" customHeight="1" x14ac:dyDescent="0.25">
      <c r="A65" s="256" t="s">
        <v>0</v>
      </c>
      <c r="B65" s="256"/>
      <c r="C65" s="256"/>
      <c r="D65" s="256"/>
      <c r="E65" s="256"/>
      <c r="F65" s="256"/>
      <c r="G65" s="256"/>
      <c r="H65" s="256"/>
      <c r="I65" s="256"/>
    </row>
    <row r="66" spans="1:9" ht="15" customHeight="1" x14ac:dyDescent="0.25">
      <c r="A66" s="256"/>
      <c r="B66" s="256"/>
      <c r="C66" s="256"/>
      <c r="D66" s="256"/>
      <c r="E66" s="256"/>
      <c r="F66" s="256"/>
      <c r="G66" s="256"/>
      <c r="H66" s="256"/>
      <c r="I66" s="256"/>
    </row>
    <row r="67" spans="1:9" ht="15" customHeight="1" x14ac:dyDescent="0.25">
      <c r="A67" s="256"/>
      <c r="B67" s="256"/>
      <c r="C67" s="256"/>
      <c r="D67" s="256"/>
      <c r="E67" s="256"/>
      <c r="F67" s="256"/>
      <c r="G67" s="256"/>
      <c r="H67" s="256"/>
      <c r="I67" s="256"/>
    </row>
    <row r="68" spans="1:9" x14ac:dyDescent="0.25">
      <c r="A68" s="225" t="s">
        <v>1</v>
      </c>
      <c r="B68" s="225"/>
      <c r="C68" s="226"/>
      <c r="D68" s="118"/>
      <c r="E68" s="117"/>
      <c r="F68" s="117"/>
      <c r="G68" s="117"/>
      <c r="H68" s="119"/>
      <c r="I68" s="117"/>
    </row>
    <row r="69" spans="1:9" x14ac:dyDescent="0.25">
      <c r="A69" s="215" t="s">
        <v>2</v>
      </c>
      <c r="B69" s="215" t="s">
        <v>3</v>
      </c>
      <c r="C69" s="215" t="s">
        <v>4</v>
      </c>
      <c r="D69" s="227"/>
      <c r="E69" s="214" t="s">
        <v>5</v>
      </c>
      <c r="F69" s="214" t="s">
        <v>6</v>
      </c>
      <c r="G69" s="214" t="s">
        <v>104</v>
      </c>
      <c r="H69" s="216" t="s">
        <v>7</v>
      </c>
      <c r="I69" s="218"/>
    </row>
    <row r="70" spans="1:9" ht="15.75" thickBot="1" x14ac:dyDescent="0.3">
      <c r="A70" s="215"/>
      <c r="B70" s="215"/>
      <c r="C70" s="215"/>
      <c r="D70" s="228"/>
      <c r="E70" s="215"/>
      <c r="F70" s="215"/>
      <c r="G70" s="215"/>
      <c r="H70" s="217"/>
      <c r="I70" s="219"/>
    </row>
    <row r="71" spans="1:9" ht="15.75" thickBot="1" x14ac:dyDescent="0.3">
      <c r="A71" s="68">
        <v>51</v>
      </c>
      <c r="B71" s="68" t="s">
        <v>8</v>
      </c>
      <c r="C71" s="68" t="s">
        <v>107</v>
      </c>
      <c r="D71" s="68" t="s">
        <v>10</v>
      </c>
      <c r="E71" s="68">
        <v>40</v>
      </c>
      <c r="F71" s="80" t="s">
        <v>26</v>
      </c>
      <c r="G71" s="68" t="s">
        <v>27</v>
      </c>
      <c r="H71" s="70">
        <f t="shared" ref="H71:H73" si="5">(I71*$I$7)+I71</f>
        <v>14.46</v>
      </c>
      <c r="I71" s="144">
        <v>14.46</v>
      </c>
    </row>
    <row r="72" spans="1:9" ht="15.75" thickBot="1" x14ac:dyDescent="0.3">
      <c r="A72" s="68">
        <v>339</v>
      </c>
      <c r="B72" s="68" t="s">
        <v>8</v>
      </c>
      <c r="C72" s="68" t="s">
        <v>107</v>
      </c>
      <c r="D72" s="68" t="s">
        <v>15</v>
      </c>
      <c r="E72" s="68">
        <v>32</v>
      </c>
      <c r="F72" s="80" t="s">
        <v>26</v>
      </c>
      <c r="G72" s="68" t="s">
        <v>27</v>
      </c>
      <c r="H72" s="70">
        <f t="shared" si="5"/>
        <v>16.579999999999998</v>
      </c>
      <c r="I72" s="144">
        <v>16.579999999999998</v>
      </c>
    </row>
    <row r="73" spans="1:9" x14ac:dyDescent="0.25">
      <c r="A73" s="93">
        <v>349</v>
      </c>
      <c r="B73" s="93" t="s">
        <v>8</v>
      </c>
      <c r="C73" s="93" t="s">
        <v>107</v>
      </c>
      <c r="D73" s="93" t="s">
        <v>18</v>
      </c>
      <c r="E73" s="93">
        <v>32</v>
      </c>
      <c r="F73" s="120" t="s">
        <v>26</v>
      </c>
      <c r="G73" s="93" t="s">
        <v>27</v>
      </c>
      <c r="H73" s="95">
        <f t="shared" si="5"/>
        <v>19.22</v>
      </c>
      <c r="I73" s="145">
        <v>19.22</v>
      </c>
    </row>
    <row r="74" spans="1:9" x14ac:dyDescent="0.25">
      <c r="A74" s="108"/>
      <c r="B74" s="108"/>
      <c r="C74" s="108"/>
      <c r="D74" s="104"/>
      <c r="E74" s="104"/>
      <c r="F74" s="104"/>
      <c r="G74" s="104"/>
      <c r="H74" s="104"/>
      <c r="I74" s="104"/>
    </row>
    <row r="75" spans="1:9" x14ac:dyDescent="0.25">
      <c r="A75" s="232" t="s">
        <v>28</v>
      </c>
      <c r="B75" s="232"/>
      <c r="C75" s="233"/>
      <c r="D75" s="121"/>
      <c r="E75" s="98"/>
      <c r="F75" s="98"/>
      <c r="G75" s="98"/>
      <c r="H75" s="98"/>
      <c r="I75" s="98"/>
    </row>
    <row r="76" spans="1:9" ht="15.75" thickBot="1" x14ac:dyDescent="0.3">
      <c r="A76" s="67">
        <v>132</v>
      </c>
      <c r="B76" s="68" t="s">
        <v>29</v>
      </c>
      <c r="C76" s="68" t="s">
        <v>30</v>
      </c>
      <c r="D76" s="100" t="s">
        <v>10</v>
      </c>
      <c r="E76" s="68">
        <v>20</v>
      </c>
      <c r="F76" s="122" t="s">
        <v>26</v>
      </c>
      <c r="G76" s="102" t="s">
        <v>37</v>
      </c>
      <c r="H76" s="103">
        <f t="shared" ref="H76:H78" si="6">(I76*$I$7)+I76</f>
        <v>29.67</v>
      </c>
      <c r="I76" s="144">
        <v>29.67</v>
      </c>
    </row>
    <row r="77" spans="1:9" ht="15.75" thickBot="1" x14ac:dyDescent="0.3">
      <c r="A77" s="67">
        <v>294</v>
      </c>
      <c r="B77" s="68" t="s">
        <v>29</v>
      </c>
      <c r="C77" s="68" t="s">
        <v>30</v>
      </c>
      <c r="D77" s="68" t="s">
        <v>15</v>
      </c>
      <c r="E77" s="68">
        <v>20</v>
      </c>
      <c r="F77" s="81" t="s">
        <v>26</v>
      </c>
      <c r="G77" s="67" t="s">
        <v>38</v>
      </c>
      <c r="H77" s="70">
        <f t="shared" si="6"/>
        <v>30.58</v>
      </c>
      <c r="I77" s="144">
        <v>30.58</v>
      </c>
    </row>
    <row r="78" spans="1:9" ht="15.75" thickBot="1" x14ac:dyDescent="0.3">
      <c r="A78" s="92">
        <v>300</v>
      </c>
      <c r="B78" s="93" t="s">
        <v>29</v>
      </c>
      <c r="C78" s="93" t="s">
        <v>30</v>
      </c>
      <c r="D78" s="93" t="s">
        <v>18</v>
      </c>
      <c r="E78" s="93">
        <v>20</v>
      </c>
      <c r="F78" s="131" t="s">
        <v>26</v>
      </c>
      <c r="G78" s="92" t="s">
        <v>39</v>
      </c>
      <c r="H78" s="95">
        <f t="shared" si="6"/>
        <v>32.94</v>
      </c>
      <c r="I78" s="144">
        <v>32.94</v>
      </c>
    </row>
    <row r="79" spans="1:9" x14ac:dyDescent="0.25">
      <c r="A79" s="108"/>
      <c r="B79" s="108"/>
      <c r="C79" s="108"/>
      <c r="D79" s="104"/>
      <c r="E79" s="104"/>
      <c r="F79" s="104"/>
      <c r="G79" s="104"/>
      <c r="H79" s="104"/>
    </row>
    <row r="80" spans="1:9" ht="15.75" thickBot="1" x14ac:dyDescent="0.3">
      <c r="A80" s="234" t="s">
        <v>40</v>
      </c>
      <c r="B80" s="234"/>
      <c r="C80" s="235"/>
      <c r="D80" s="121"/>
      <c r="E80" s="98"/>
      <c r="F80" s="98"/>
      <c r="G80" s="98"/>
      <c r="H80" s="98"/>
    </row>
    <row r="81" spans="1:9" ht="15.75" thickBot="1" x14ac:dyDescent="0.3">
      <c r="A81" s="67">
        <v>152</v>
      </c>
      <c r="B81" s="68" t="s">
        <v>41</v>
      </c>
      <c r="C81" s="68" t="s">
        <v>107</v>
      </c>
      <c r="D81" s="100" t="s">
        <v>10</v>
      </c>
      <c r="E81" s="100">
        <v>1000</v>
      </c>
      <c r="F81" s="122" t="s">
        <v>26</v>
      </c>
      <c r="G81" s="102"/>
      <c r="H81" s="103">
        <f t="shared" ref="H81:H83" si="7">(I81*$I$7)+I81</f>
        <v>0.44</v>
      </c>
      <c r="I81" s="146">
        <v>0.44</v>
      </c>
    </row>
    <row r="82" spans="1:9" ht="15.75" thickBot="1" x14ac:dyDescent="0.3">
      <c r="A82" s="67">
        <v>153</v>
      </c>
      <c r="B82" s="68" t="s">
        <v>43</v>
      </c>
      <c r="C82" s="68" t="s">
        <v>107</v>
      </c>
      <c r="D82" s="68" t="s">
        <v>15</v>
      </c>
      <c r="E82" s="68">
        <v>1000</v>
      </c>
      <c r="F82" s="81" t="s">
        <v>26</v>
      </c>
      <c r="G82" s="67"/>
      <c r="H82" s="70">
        <f t="shared" si="7"/>
        <v>0.47</v>
      </c>
      <c r="I82" s="147">
        <v>0.47</v>
      </c>
    </row>
    <row r="83" spans="1:9" ht="15.75" thickBot="1" x14ac:dyDescent="0.3">
      <c r="A83" s="92">
        <v>154</v>
      </c>
      <c r="B83" s="93" t="s">
        <v>44</v>
      </c>
      <c r="C83" s="68" t="s">
        <v>107</v>
      </c>
      <c r="D83" s="93" t="s">
        <v>18</v>
      </c>
      <c r="E83" s="93">
        <v>1000</v>
      </c>
      <c r="F83" s="131" t="s">
        <v>26</v>
      </c>
      <c r="G83" s="92"/>
      <c r="H83" s="95">
        <f t="shared" si="7"/>
        <v>0.49</v>
      </c>
      <c r="I83" s="147">
        <v>0.49</v>
      </c>
    </row>
    <row r="84" spans="1:9" x14ac:dyDescent="0.25">
      <c r="A84" s="108"/>
      <c r="B84" s="108"/>
      <c r="C84" s="108"/>
      <c r="D84" s="104"/>
      <c r="E84" s="104"/>
      <c r="F84" s="104"/>
      <c r="G84" s="104"/>
      <c r="H84" s="104"/>
    </row>
    <row r="85" spans="1:9" ht="15.75" customHeight="1" thickBot="1" x14ac:dyDescent="0.3">
      <c r="A85" s="209" t="s">
        <v>123</v>
      </c>
      <c r="B85" s="210"/>
      <c r="C85" s="141" t="s">
        <v>125</v>
      </c>
      <c r="D85" s="121"/>
      <c r="E85" s="98"/>
      <c r="F85" s="98"/>
      <c r="G85" s="98"/>
      <c r="H85" s="98"/>
    </row>
    <row r="86" spans="1:9" ht="15.75" thickBot="1" x14ac:dyDescent="0.3">
      <c r="A86" s="67">
        <v>155</v>
      </c>
      <c r="B86" s="68" t="s">
        <v>117</v>
      </c>
      <c r="C86" s="68" t="s">
        <v>120</v>
      </c>
      <c r="D86" s="100"/>
      <c r="E86" s="100">
        <v>12</v>
      </c>
      <c r="F86" s="122" t="s">
        <v>26</v>
      </c>
      <c r="G86" s="102" t="s">
        <v>119</v>
      </c>
      <c r="H86" s="103">
        <f>(I86*$I$7)+I86</f>
        <v>71</v>
      </c>
      <c r="I86" s="59">
        <v>71</v>
      </c>
    </row>
    <row r="87" spans="1:9" x14ac:dyDescent="0.25">
      <c r="A87" s="8"/>
      <c r="B87" s="9"/>
      <c r="C87" s="9"/>
      <c r="D87" s="9"/>
      <c r="E87" s="9"/>
      <c r="F87" s="90"/>
      <c r="G87" s="8"/>
      <c r="H87" s="88"/>
      <c r="I87" s="50"/>
    </row>
    <row r="88" spans="1:9" ht="15" customHeight="1" x14ac:dyDescent="0.25">
      <c r="A88" s="209" t="s">
        <v>124</v>
      </c>
      <c r="B88" s="210"/>
      <c r="C88" s="141" t="s">
        <v>126</v>
      </c>
      <c r="D88" s="121"/>
      <c r="E88" s="98"/>
      <c r="F88" s="98"/>
      <c r="G88" s="98"/>
      <c r="H88" s="98"/>
    </row>
    <row r="89" spans="1:9" ht="15.75" thickBot="1" x14ac:dyDescent="0.3">
      <c r="A89" s="67">
        <v>158</v>
      </c>
      <c r="B89" s="68" t="s">
        <v>50</v>
      </c>
      <c r="C89" s="68" t="s">
        <v>127</v>
      </c>
      <c r="D89" s="68"/>
      <c r="E89" s="68">
        <v>150</v>
      </c>
      <c r="F89" s="81" t="s">
        <v>26</v>
      </c>
      <c r="G89" s="67" t="s">
        <v>130</v>
      </c>
      <c r="H89" s="70">
        <f t="shared" ref="H89" si="8">(I89*$I$7)+I89</f>
        <v>6.98</v>
      </c>
      <c r="I89" s="163">
        <v>6.98</v>
      </c>
    </row>
    <row r="90" spans="1:9" x14ac:dyDescent="0.25">
      <c r="A90" s="8"/>
      <c r="B90" s="9"/>
      <c r="C90" s="9"/>
      <c r="D90" s="9"/>
      <c r="E90" s="9"/>
      <c r="F90" s="90"/>
      <c r="G90" s="8"/>
      <c r="H90" s="88"/>
      <c r="I90" s="50"/>
    </row>
    <row r="91" spans="1:9" x14ac:dyDescent="0.25">
      <c r="A91" s="8"/>
      <c r="B91" s="9"/>
      <c r="C91" s="9"/>
      <c r="D91" s="9"/>
      <c r="E91" s="9"/>
      <c r="F91" s="90"/>
      <c r="G91" s="8"/>
      <c r="H91" s="88"/>
      <c r="I91" s="50"/>
    </row>
    <row r="92" spans="1:9" x14ac:dyDescent="0.25">
      <c r="A92" s="8"/>
      <c r="B92" s="9"/>
      <c r="C92" s="9"/>
      <c r="D92" s="9"/>
      <c r="E92" s="9"/>
      <c r="F92" s="90"/>
      <c r="G92" s="8"/>
      <c r="H92" s="88"/>
      <c r="I92" s="50"/>
    </row>
    <row r="93" spans="1:9" x14ac:dyDescent="0.25">
      <c r="A93" s="8"/>
      <c r="B93" s="9"/>
      <c r="C93" s="9"/>
      <c r="D93" s="9"/>
      <c r="E93" s="9"/>
      <c r="F93" s="90"/>
      <c r="G93" s="8"/>
      <c r="H93" s="88"/>
      <c r="I93" s="50"/>
    </row>
    <row r="94" spans="1:9" x14ac:dyDescent="0.25">
      <c r="A94" s="8"/>
      <c r="B94" s="9"/>
      <c r="C94" s="9"/>
      <c r="D94" s="9"/>
      <c r="E94" s="9"/>
      <c r="F94" s="90"/>
      <c r="G94" s="8"/>
      <c r="H94" s="88"/>
      <c r="I94" s="50"/>
    </row>
    <row r="95" spans="1:9" x14ac:dyDescent="0.25">
      <c r="A95" s="8"/>
      <c r="B95" s="9"/>
      <c r="C95" s="9"/>
      <c r="D95" s="9"/>
      <c r="E95" s="9"/>
      <c r="F95" s="90"/>
      <c r="G95" s="8"/>
      <c r="H95" s="88"/>
      <c r="I95" s="50"/>
    </row>
    <row r="96" spans="1:9" x14ac:dyDescent="0.25">
      <c r="A96" s="8"/>
      <c r="B96" s="9"/>
      <c r="C96" s="9"/>
      <c r="D96" s="9"/>
      <c r="E96" s="9"/>
      <c r="F96" s="90"/>
      <c r="G96" s="8"/>
      <c r="H96" s="88"/>
      <c r="I96" s="50"/>
    </row>
    <row r="97" spans="1:9" x14ac:dyDescent="0.25">
      <c r="A97" s="8"/>
      <c r="B97" s="9"/>
      <c r="C97" s="9"/>
      <c r="D97" s="9"/>
      <c r="E97" s="9"/>
      <c r="F97" s="90"/>
      <c r="G97" s="8"/>
      <c r="H97" s="88"/>
      <c r="I97" s="50"/>
    </row>
    <row r="98" spans="1:9" x14ac:dyDescent="0.25">
      <c r="A98" s="8"/>
      <c r="B98" s="9"/>
      <c r="C98" s="9"/>
      <c r="D98" s="9"/>
      <c r="E98" s="9"/>
      <c r="F98" s="90"/>
      <c r="G98" s="8"/>
      <c r="H98" s="88"/>
      <c r="I98" s="50"/>
    </row>
    <row r="99" spans="1:9" x14ac:dyDescent="0.25">
      <c r="A99" s="8"/>
      <c r="B99" s="9"/>
      <c r="C99" s="9"/>
      <c r="D99" s="9"/>
      <c r="E99" s="9"/>
      <c r="F99" s="90"/>
      <c r="G99" s="8"/>
      <c r="H99" s="88"/>
      <c r="I99" s="50"/>
    </row>
    <row r="100" spans="1:9" x14ac:dyDescent="0.25">
      <c r="A100" s="8"/>
      <c r="B100" s="9"/>
      <c r="C100" s="9"/>
      <c r="D100" s="9"/>
      <c r="E100" s="9"/>
      <c r="F100" s="90"/>
      <c r="G100" s="8"/>
      <c r="H100" s="88"/>
      <c r="I100" s="50"/>
    </row>
    <row r="101" spans="1:9" x14ac:dyDescent="0.25">
      <c r="A101" s="8"/>
      <c r="B101" s="9"/>
      <c r="C101" s="9"/>
      <c r="D101" s="9"/>
      <c r="E101" s="9"/>
      <c r="F101" s="90"/>
      <c r="G101" s="8"/>
      <c r="H101" s="88"/>
      <c r="I101" s="50"/>
    </row>
    <row r="102" spans="1:9" x14ac:dyDescent="0.25">
      <c r="A102" s="8"/>
      <c r="B102" s="9"/>
      <c r="C102" s="9"/>
      <c r="D102" s="9"/>
      <c r="E102" s="9"/>
      <c r="F102" s="90"/>
      <c r="G102" s="8"/>
      <c r="H102" s="88"/>
      <c r="I102" s="50"/>
    </row>
    <row r="103" spans="1:9" x14ac:dyDescent="0.25">
      <c r="A103" s="8"/>
      <c r="B103" s="9"/>
      <c r="C103" s="9"/>
      <c r="D103" s="9"/>
      <c r="E103" s="9"/>
      <c r="F103" s="90"/>
      <c r="G103" s="8"/>
      <c r="H103" s="88"/>
      <c r="I103" s="50"/>
    </row>
    <row r="104" spans="1:9" x14ac:dyDescent="0.25">
      <c r="A104" s="8"/>
      <c r="B104" s="9"/>
      <c r="C104" s="9"/>
      <c r="D104" s="9"/>
      <c r="E104" s="9"/>
      <c r="F104" s="90"/>
      <c r="G104" s="8"/>
      <c r="H104" s="88"/>
      <c r="I104" s="50"/>
    </row>
    <row r="105" spans="1:9" x14ac:dyDescent="0.25">
      <c r="A105" s="8"/>
      <c r="B105" s="9"/>
      <c r="C105" s="9"/>
      <c r="D105" s="9"/>
      <c r="E105" s="9"/>
      <c r="F105" s="90"/>
      <c r="G105" s="8"/>
      <c r="H105" s="88"/>
      <c r="I105" s="50"/>
    </row>
    <row r="106" spans="1:9" x14ac:dyDescent="0.25">
      <c r="A106" s="8"/>
      <c r="B106" s="9"/>
      <c r="C106" s="9"/>
      <c r="D106" s="9"/>
      <c r="E106" s="9"/>
      <c r="F106" s="90"/>
      <c r="G106" s="8"/>
      <c r="H106" s="88"/>
      <c r="I106" s="50"/>
    </row>
    <row r="107" spans="1:9" x14ac:dyDescent="0.25">
      <c r="A107" s="8"/>
      <c r="B107" s="9"/>
      <c r="C107" s="9"/>
      <c r="D107" s="9"/>
      <c r="E107" s="9"/>
      <c r="F107" s="90"/>
      <c r="G107" s="8"/>
      <c r="H107" s="88"/>
      <c r="I107" s="50"/>
    </row>
    <row r="108" spans="1:9" x14ac:dyDescent="0.25">
      <c r="A108" s="8"/>
      <c r="B108" s="9"/>
      <c r="C108" s="9"/>
      <c r="D108" s="9"/>
      <c r="E108" s="9"/>
      <c r="F108" s="90"/>
      <c r="G108" s="8"/>
      <c r="H108" s="88"/>
      <c r="I108" s="50"/>
    </row>
    <row r="109" spans="1:9" x14ac:dyDescent="0.25">
      <c r="A109" s="8"/>
      <c r="B109" s="9"/>
      <c r="C109" s="9"/>
      <c r="D109" s="9"/>
      <c r="E109" s="9"/>
      <c r="F109" s="90"/>
      <c r="G109" s="8"/>
      <c r="H109" s="88"/>
      <c r="I109" s="50"/>
    </row>
    <row r="110" spans="1:9" x14ac:dyDescent="0.25">
      <c r="A110" s="8"/>
      <c r="B110" s="9"/>
      <c r="C110" s="9"/>
      <c r="D110" s="9"/>
      <c r="E110" s="9"/>
      <c r="F110" s="90"/>
      <c r="G110" s="8"/>
      <c r="H110" s="88"/>
      <c r="I110" s="50"/>
    </row>
    <row r="111" spans="1:9" x14ac:dyDescent="0.25">
      <c r="A111" s="8"/>
      <c r="B111" s="9"/>
      <c r="C111" s="9"/>
      <c r="D111" s="9"/>
      <c r="E111" s="9"/>
      <c r="F111" s="90"/>
      <c r="G111" s="8"/>
      <c r="H111" s="88"/>
      <c r="I111" s="50"/>
    </row>
    <row r="112" spans="1:9" x14ac:dyDescent="0.25">
      <c r="A112" s="8"/>
      <c r="B112" s="9"/>
      <c r="C112" s="9"/>
      <c r="D112" s="9"/>
      <c r="E112" s="9"/>
      <c r="F112" s="90"/>
      <c r="G112" s="8"/>
      <c r="H112" s="88"/>
      <c r="I112" s="50"/>
    </row>
    <row r="113" spans="1:9" x14ac:dyDescent="0.25">
      <c r="A113" s="8"/>
      <c r="B113" s="9"/>
      <c r="C113" s="9"/>
      <c r="D113" s="9"/>
      <c r="E113" s="9"/>
      <c r="F113" s="90"/>
      <c r="G113" s="8"/>
      <c r="H113" s="88"/>
      <c r="I113" s="50"/>
    </row>
    <row r="114" spans="1:9" x14ac:dyDescent="0.25">
      <c r="A114" s="8"/>
      <c r="B114" s="9"/>
      <c r="C114" s="9"/>
      <c r="D114" s="9"/>
      <c r="E114" s="9"/>
      <c r="F114" s="90"/>
      <c r="G114" s="8"/>
      <c r="H114" s="88"/>
      <c r="I114" s="50"/>
    </row>
    <row r="115" spans="1:9" x14ac:dyDescent="0.25">
      <c r="A115" s="8"/>
      <c r="B115" s="9"/>
      <c r="C115" s="9"/>
      <c r="D115" s="9"/>
      <c r="E115" s="9"/>
      <c r="F115" s="90"/>
      <c r="G115" s="8"/>
      <c r="H115" s="88"/>
      <c r="I115" s="50"/>
    </row>
    <row r="116" spans="1:9" x14ac:dyDescent="0.25">
      <c r="A116" s="8"/>
      <c r="B116" s="9"/>
      <c r="C116" s="9"/>
      <c r="D116" s="9"/>
      <c r="E116" s="9"/>
      <c r="F116" s="90"/>
      <c r="G116" s="8"/>
      <c r="H116" s="88"/>
      <c r="I116" s="50"/>
    </row>
    <row r="117" spans="1:9" x14ac:dyDescent="0.25">
      <c r="A117" s="8"/>
      <c r="B117" s="9"/>
      <c r="C117" s="9"/>
      <c r="D117" s="9"/>
      <c r="E117" s="9"/>
      <c r="F117" s="90"/>
      <c r="G117" s="8"/>
      <c r="H117" s="88"/>
      <c r="I117" s="50"/>
    </row>
    <row r="118" spans="1:9" x14ac:dyDescent="0.25">
      <c r="A118" s="8"/>
      <c r="B118" s="9"/>
      <c r="C118" s="9"/>
      <c r="D118" s="9"/>
      <c r="E118" s="9"/>
      <c r="F118" s="90"/>
      <c r="G118" s="8"/>
      <c r="H118" s="88"/>
      <c r="I118" s="50"/>
    </row>
    <row r="119" spans="1:9" x14ac:dyDescent="0.25">
      <c r="A119" s="8"/>
      <c r="B119" s="9"/>
      <c r="C119" s="9"/>
      <c r="D119" s="9"/>
      <c r="E119" s="9"/>
      <c r="F119" s="90"/>
      <c r="G119" s="8"/>
      <c r="H119" s="88"/>
      <c r="I119" s="50"/>
    </row>
    <row r="120" spans="1:9" x14ac:dyDescent="0.25">
      <c r="A120" s="8"/>
      <c r="B120" s="9"/>
      <c r="C120" s="9"/>
      <c r="D120" s="9"/>
      <c r="E120" s="9"/>
      <c r="F120" s="90"/>
      <c r="G120" s="8"/>
      <c r="H120" s="88"/>
      <c r="I120" s="50"/>
    </row>
    <row r="121" spans="1:9" x14ac:dyDescent="0.25">
      <c r="A121" s="8"/>
      <c r="B121" s="9"/>
      <c r="C121" s="9"/>
      <c r="D121" s="9"/>
      <c r="E121" s="9"/>
      <c r="F121" s="90"/>
      <c r="G121" s="8"/>
      <c r="H121" s="88"/>
      <c r="I121" s="50"/>
    </row>
    <row r="122" spans="1:9" x14ac:dyDescent="0.25">
      <c r="A122" s="8"/>
      <c r="B122" s="9"/>
      <c r="C122" s="9"/>
      <c r="D122" s="9"/>
      <c r="E122" s="9"/>
      <c r="F122" s="90"/>
      <c r="G122" s="8"/>
      <c r="H122" s="88"/>
      <c r="I122" s="50"/>
    </row>
    <row r="123" spans="1:9" x14ac:dyDescent="0.25">
      <c r="A123" s="8"/>
      <c r="B123" s="9"/>
      <c r="C123" s="9"/>
      <c r="D123" s="9"/>
      <c r="E123" s="9"/>
      <c r="F123" s="90"/>
      <c r="G123" s="8"/>
      <c r="H123" s="88"/>
      <c r="I123" s="50"/>
    </row>
    <row r="125" spans="1:9" ht="15" customHeight="1" x14ac:dyDescent="0.25">
      <c r="B125" s="256"/>
      <c r="C125" s="256"/>
      <c r="D125" s="256"/>
      <c r="E125" s="256"/>
      <c r="F125" s="256"/>
      <c r="G125" s="256"/>
      <c r="H125" s="256"/>
      <c r="I125" s="256"/>
    </row>
    <row r="126" spans="1:9" ht="15" customHeight="1" x14ac:dyDescent="0.25">
      <c r="A126" s="256"/>
      <c r="B126" s="256"/>
      <c r="C126" s="256"/>
      <c r="D126" s="256"/>
      <c r="E126" s="256"/>
      <c r="F126" s="256"/>
      <c r="G126" s="256"/>
      <c r="H126" s="256"/>
      <c r="I126" s="256"/>
    </row>
    <row r="127" spans="1:9" ht="15" customHeight="1" x14ac:dyDescent="0.25">
      <c r="A127" s="256" t="s">
        <v>0</v>
      </c>
      <c r="B127" s="256"/>
      <c r="C127" s="256"/>
      <c r="D127" s="256"/>
      <c r="E127" s="256"/>
      <c r="F127" s="256"/>
      <c r="G127" s="256"/>
      <c r="H127" s="256"/>
      <c r="I127" s="256"/>
    </row>
    <row r="128" spans="1:9" ht="15" customHeight="1" x14ac:dyDescent="0.25">
      <c r="A128" s="256"/>
      <c r="B128" s="256"/>
      <c r="C128" s="256"/>
      <c r="D128" s="256"/>
      <c r="E128" s="256"/>
      <c r="F128" s="256"/>
      <c r="G128" s="256"/>
      <c r="H128" s="256"/>
      <c r="I128" s="256"/>
    </row>
    <row r="129" spans="1:9" ht="15" customHeight="1" x14ac:dyDescent="0.25">
      <c r="A129" s="256"/>
      <c r="B129" s="256"/>
      <c r="C129" s="256"/>
      <c r="D129" s="256"/>
      <c r="E129" s="256"/>
      <c r="F129" s="256"/>
      <c r="G129" s="256"/>
      <c r="H129" s="256"/>
      <c r="I129" s="256"/>
    </row>
    <row r="130" spans="1:9" ht="15.75" thickBot="1" x14ac:dyDescent="0.3">
      <c r="A130" s="225" t="s">
        <v>1</v>
      </c>
      <c r="B130" s="225"/>
      <c r="C130" s="226"/>
      <c r="D130" s="118"/>
      <c r="E130" s="117"/>
      <c r="F130" s="117"/>
      <c r="G130" s="117"/>
      <c r="H130" s="117"/>
      <c r="I130" s="38"/>
    </row>
    <row r="131" spans="1:9" x14ac:dyDescent="0.25">
      <c r="A131" s="215" t="s">
        <v>2</v>
      </c>
      <c r="B131" s="215" t="s">
        <v>3</v>
      </c>
      <c r="C131" s="215" t="s">
        <v>4</v>
      </c>
      <c r="D131" s="227"/>
      <c r="E131" s="214" t="s">
        <v>5</v>
      </c>
      <c r="F131" s="91" t="s">
        <v>6</v>
      </c>
      <c r="G131" s="91" t="s">
        <v>104</v>
      </c>
      <c r="H131" s="123" t="s">
        <v>7</v>
      </c>
      <c r="I131" s="222"/>
    </row>
    <row r="132" spans="1:9" ht="15.75" thickBot="1" x14ac:dyDescent="0.3">
      <c r="A132" s="215"/>
      <c r="B132" s="215"/>
      <c r="C132" s="215"/>
      <c r="D132" s="228"/>
      <c r="E132" s="215"/>
      <c r="F132" s="65"/>
      <c r="G132" s="65"/>
      <c r="H132" s="66"/>
      <c r="I132" s="219"/>
    </row>
    <row r="133" spans="1:9" ht="15.75" thickBot="1" x14ac:dyDescent="0.3">
      <c r="A133" s="68">
        <v>1957</v>
      </c>
      <c r="B133" s="68" t="s">
        <v>8</v>
      </c>
      <c r="C133" s="68" t="s">
        <v>106</v>
      </c>
      <c r="D133" s="68" t="s">
        <v>10</v>
      </c>
      <c r="E133" s="68"/>
      <c r="F133" s="82" t="s">
        <v>105</v>
      </c>
      <c r="G133" s="68" t="s">
        <v>27</v>
      </c>
      <c r="H133" s="70">
        <f>(I133*$I$7)+I133</f>
        <v>27.88</v>
      </c>
      <c r="I133" s="6">
        <v>27.88</v>
      </c>
    </row>
    <row r="134" spans="1:9" ht="15.75" thickBot="1" x14ac:dyDescent="0.3">
      <c r="A134" s="68">
        <v>1958</v>
      </c>
      <c r="B134" s="68" t="s">
        <v>8</v>
      </c>
      <c r="C134" s="68" t="s">
        <v>106</v>
      </c>
      <c r="D134" s="68" t="s">
        <v>15</v>
      </c>
      <c r="E134" s="68"/>
      <c r="F134" s="82" t="s">
        <v>105</v>
      </c>
      <c r="G134" s="68" t="s">
        <v>27</v>
      </c>
      <c r="H134" s="70">
        <f t="shared" ref="H134:H135" si="9">(I134*$I$7)+I134</f>
        <v>28.67</v>
      </c>
      <c r="I134" s="6">
        <v>28.67</v>
      </c>
    </row>
    <row r="135" spans="1:9" x14ac:dyDescent="0.25">
      <c r="A135" s="93">
        <v>1959</v>
      </c>
      <c r="B135" s="93" t="s">
        <v>8</v>
      </c>
      <c r="C135" s="93" t="s">
        <v>106</v>
      </c>
      <c r="D135" s="93" t="s">
        <v>18</v>
      </c>
      <c r="E135" s="93"/>
      <c r="F135" s="124" t="s">
        <v>105</v>
      </c>
      <c r="G135" s="93" t="s">
        <v>27</v>
      </c>
      <c r="H135" s="95">
        <f t="shared" si="9"/>
        <v>30.77</v>
      </c>
      <c r="I135" s="96">
        <v>30.77</v>
      </c>
    </row>
    <row r="136" spans="1:9" x14ac:dyDescent="0.25">
      <c r="A136" s="108"/>
      <c r="B136" s="108"/>
      <c r="C136" s="108"/>
      <c r="D136" s="104"/>
      <c r="E136" s="104"/>
      <c r="F136" s="104"/>
      <c r="G136" s="104"/>
      <c r="H136" s="104"/>
      <c r="I136" s="104"/>
    </row>
    <row r="137" spans="1:9" x14ac:dyDescent="0.25">
      <c r="A137" s="236" t="s">
        <v>28</v>
      </c>
      <c r="B137" s="236"/>
      <c r="C137" s="237"/>
      <c r="D137" s="121"/>
      <c r="E137" s="98"/>
      <c r="F137" s="98"/>
      <c r="G137" s="98"/>
      <c r="H137" s="98"/>
      <c r="I137" s="98"/>
    </row>
    <row r="138" spans="1:9" ht="15.75" thickBot="1" x14ac:dyDescent="0.3">
      <c r="A138" s="67">
        <v>1960</v>
      </c>
      <c r="B138" s="68" t="s">
        <v>29</v>
      </c>
      <c r="C138" s="68" t="s">
        <v>111</v>
      </c>
      <c r="D138" s="100" t="s">
        <v>10</v>
      </c>
      <c r="E138" s="100"/>
      <c r="F138" s="125" t="s">
        <v>105</v>
      </c>
      <c r="G138" s="102" t="s">
        <v>108</v>
      </c>
      <c r="H138" s="103">
        <f t="shared" ref="H138:H140" si="10">(I138*$I$7)+I138</f>
        <v>94.88</v>
      </c>
      <c r="I138" s="6">
        <v>94.88</v>
      </c>
    </row>
    <row r="139" spans="1:9" ht="15.75" thickBot="1" x14ac:dyDescent="0.3">
      <c r="A139" s="67">
        <v>1961</v>
      </c>
      <c r="B139" s="68" t="s">
        <v>29</v>
      </c>
      <c r="C139" s="68" t="s">
        <v>111</v>
      </c>
      <c r="D139" s="68" t="s">
        <v>15</v>
      </c>
      <c r="E139" s="68"/>
      <c r="F139" s="83" t="s">
        <v>105</v>
      </c>
      <c r="G139" s="67" t="s">
        <v>109</v>
      </c>
      <c r="H139" s="70">
        <f t="shared" si="10"/>
        <v>98.7</v>
      </c>
      <c r="I139" s="6">
        <v>98.7</v>
      </c>
    </row>
    <row r="140" spans="1:9" x14ac:dyDescent="0.25">
      <c r="A140" s="92">
        <v>1962</v>
      </c>
      <c r="B140" s="93" t="s">
        <v>29</v>
      </c>
      <c r="C140" s="93" t="s">
        <v>111</v>
      </c>
      <c r="D140" s="93" t="s">
        <v>18</v>
      </c>
      <c r="E140" s="93"/>
      <c r="F140" s="126" t="s">
        <v>105</v>
      </c>
      <c r="G140" s="92" t="s">
        <v>110</v>
      </c>
      <c r="H140" s="95">
        <f t="shared" si="10"/>
        <v>107.44</v>
      </c>
      <c r="I140" s="96">
        <v>107.44</v>
      </c>
    </row>
    <row r="141" spans="1:9" x14ac:dyDescent="0.25">
      <c r="A141" s="108"/>
      <c r="B141" s="108"/>
      <c r="C141" s="108"/>
      <c r="D141" s="104"/>
      <c r="E141" s="104"/>
      <c r="F141" s="104"/>
      <c r="G141" s="104"/>
      <c r="H141" s="104"/>
      <c r="I141" s="104"/>
    </row>
    <row r="142" spans="1:9" x14ac:dyDescent="0.25">
      <c r="A142" s="234" t="s">
        <v>40</v>
      </c>
      <c r="B142" s="234"/>
      <c r="C142" s="235"/>
      <c r="D142" s="121"/>
      <c r="E142" s="98"/>
      <c r="F142" s="98"/>
      <c r="G142" s="98"/>
      <c r="H142" s="98"/>
      <c r="I142" s="98"/>
    </row>
    <row r="143" spans="1:9" ht="15.75" thickBot="1" x14ac:dyDescent="0.3">
      <c r="A143" s="68">
        <v>1641</v>
      </c>
      <c r="B143" s="68" t="s">
        <v>95</v>
      </c>
      <c r="C143" s="68" t="s">
        <v>106</v>
      </c>
      <c r="D143" s="100" t="s">
        <v>10</v>
      </c>
      <c r="E143" s="100"/>
      <c r="F143" s="127" t="s">
        <v>98</v>
      </c>
      <c r="G143" s="100"/>
      <c r="H143" s="103">
        <f t="shared" ref="H143:H145" si="11">(I143*$I$7)+I143</f>
        <v>0.6</v>
      </c>
      <c r="I143" s="148">
        <v>0.6</v>
      </c>
    </row>
    <row r="144" spans="1:9" ht="15.75" thickBot="1" x14ac:dyDescent="0.3">
      <c r="A144" s="68">
        <v>1642</v>
      </c>
      <c r="B144" s="68" t="s">
        <v>96</v>
      </c>
      <c r="C144" s="68" t="s">
        <v>106</v>
      </c>
      <c r="D144" s="68" t="s">
        <v>15</v>
      </c>
      <c r="E144" s="68"/>
      <c r="F144" s="84" t="s">
        <v>98</v>
      </c>
      <c r="G144" s="68"/>
      <c r="H144" s="70">
        <f t="shared" si="11"/>
        <v>0.62</v>
      </c>
      <c r="I144" s="148">
        <v>0.62</v>
      </c>
    </row>
    <row r="145" spans="1:9" x14ac:dyDescent="0.25">
      <c r="A145" s="93">
        <v>1643</v>
      </c>
      <c r="B145" s="93" t="s">
        <v>97</v>
      </c>
      <c r="C145" s="68" t="s">
        <v>106</v>
      </c>
      <c r="D145" s="93" t="s">
        <v>18</v>
      </c>
      <c r="E145" s="93"/>
      <c r="F145" s="128" t="s">
        <v>98</v>
      </c>
      <c r="G145" s="93"/>
      <c r="H145" s="95">
        <f t="shared" si="11"/>
        <v>0.65</v>
      </c>
      <c r="I145" s="149">
        <v>0.65</v>
      </c>
    </row>
    <row r="146" spans="1:9" x14ac:dyDescent="0.25">
      <c r="A146" s="108"/>
      <c r="B146" s="108"/>
      <c r="C146" s="108"/>
      <c r="D146" s="104"/>
      <c r="E146" s="104"/>
      <c r="F146" s="104"/>
      <c r="G146" s="104"/>
      <c r="H146" s="104"/>
      <c r="I146" s="104"/>
    </row>
    <row r="147" spans="1:9" ht="15" customHeight="1" x14ac:dyDescent="0.25">
      <c r="A147" s="209" t="s">
        <v>123</v>
      </c>
      <c r="B147" s="210"/>
      <c r="C147" s="141" t="s">
        <v>125</v>
      </c>
      <c r="D147" s="121"/>
      <c r="E147" s="98"/>
      <c r="F147" s="98"/>
      <c r="G147" s="98"/>
      <c r="H147" s="98"/>
      <c r="I147" s="98"/>
    </row>
    <row r="148" spans="1:9" ht="15.75" thickBot="1" x14ac:dyDescent="0.3">
      <c r="A148" s="68">
        <v>1209</v>
      </c>
      <c r="B148" s="68" t="s">
        <v>46</v>
      </c>
      <c r="C148" s="68" t="s">
        <v>120</v>
      </c>
      <c r="D148" s="100"/>
      <c r="E148" s="100"/>
      <c r="F148" s="127" t="s">
        <v>98</v>
      </c>
      <c r="G148" s="100" t="s">
        <v>118</v>
      </c>
      <c r="H148" s="103">
        <f>(I148*$I$7)+I148</f>
        <v>86.5</v>
      </c>
      <c r="I148" s="6">
        <v>86.5</v>
      </c>
    </row>
    <row r="149" spans="1:9" x14ac:dyDescent="0.25">
      <c r="A149" s="137"/>
      <c r="B149" s="137"/>
      <c r="C149" s="137"/>
      <c r="D149" s="133"/>
      <c r="E149" s="133"/>
      <c r="F149" s="139"/>
      <c r="G149" s="133"/>
      <c r="H149" s="135"/>
      <c r="I149" s="138"/>
    </row>
    <row r="150" spans="1:9" ht="15" customHeight="1" x14ac:dyDescent="0.25">
      <c r="A150" s="209" t="s">
        <v>124</v>
      </c>
      <c r="B150" s="210"/>
      <c r="C150" s="141" t="s">
        <v>126</v>
      </c>
      <c r="D150" s="121"/>
      <c r="E150" s="98"/>
      <c r="F150" s="98"/>
      <c r="G150" s="98"/>
      <c r="H150" s="98"/>
      <c r="I150" s="98"/>
    </row>
    <row r="151" spans="1:9" ht="15.75" thickBot="1" x14ac:dyDescent="0.3">
      <c r="A151" s="68">
        <v>1640</v>
      </c>
      <c r="B151" s="68" t="s">
        <v>50</v>
      </c>
      <c r="C151" s="68" t="s">
        <v>127</v>
      </c>
      <c r="D151" s="68"/>
      <c r="E151" s="68"/>
      <c r="F151" s="84" t="s">
        <v>98</v>
      </c>
      <c r="G151" s="68" t="s">
        <v>119</v>
      </c>
      <c r="H151" s="70">
        <f>(I151*$I$7)+I151</f>
        <v>7.96</v>
      </c>
      <c r="I151" s="6">
        <v>7.96</v>
      </c>
    </row>
    <row r="152" spans="1:9" x14ac:dyDescent="0.25">
      <c r="A152" s="93">
        <v>1639</v>
      </c>
      <c r="B152" s="93" t="s">
        <v>50</v>
      </c>
      <c r="C152" s="93" t="s">
        <v>128</v>
      </c>
      <c r="D152" s="93"/>
      <c r="E152" s="93"/>
      <c r="F152" s="128" t="s">
        <v>98</v>
      </c>
      <c r="G152" s="93" t="s">
        <v>119</v>
      </c>
      <c r="H152" s="95">
        <f>(I152*$I$7)+I152</f>
        <v>4.28</v>
      </c>
      <c r="I152" s="96">
        <v>4.28</v>
      </c>
    </row>
    <row r="153" spans="1:9" x14ac:dyDescent="0.25">
      <c r="A153" s="108"/>
      <c r="B153" s="108"/>
      <c r="C153" s="108"/>
      <c r="D153" s="108"/>
      <c r="E153" s="104"/>
      <c r="F153" s="104"/>
      <c r="G153" s="104"/>
      <c r="H153" s="104"/>
      <c r="I153" s="104"/>
    </row>
    <row r="154" spans="1:9" x14ac:dyDescent="0.25">
      <c r="A154" s="229" t="s">
        <v>52</v>
      </c>
      <c r="B154" s="230"/>
      <c r="C154" s="230"/>
      <c r="D154" s="231"/>
      <c r="E154" s="121"/>
      <c r="F154" s="98"/>
      <c r="G154" s="98"/>
      <c r="H154" s="98"/>
      <c r="I154" s="98"/>
    </row>
    <row r="155" spans="1:9" ht="15.75" thickBot="1" x14ac:dyDescent="0.3">
      <c r="A155" s="72">
        <v>1787</v>
      </c>
      <c r="B155" s="72" t="s">
        <v>55</v>
      </c>
      <c r="C155" s="72" t="s">
        <v>131</v>
      </c>
      <c r="D155" s="72" t="s">
        <v>57</v>
      </c>
      <c r="E155" s="110" t="s">
        <v>133</v>
      </c>
      <c r="F155" s="127" t="s">
        <v>98</v>
      </c>
      <c r="H155" s="103">
        <f t="shared" ref="H155:H166" si="12">(I155*$I$7)+I155</f>
        <v>4.2699999999999996</v>
      </c>
      <c r="I155" s="129">
        <v>4.2699999999999996</v>
      </c>
    </row>
    <row r="156" spans="1:9" ht="15.75" thickBot="1" x14ac:dyDescent="0.3">
      <c r="A156" s="72">
        <v>1656</v>
      </c>
      <c r="B156" s="72" t="s">
        <v>55</v>
      </c>
      <c r="C156" s="72" t="s">
        <v>56</v>
      </c>
      <c r="D156" s="72" t="s">
        <v>57</v>
      </c>
      <c r="E156" s="110" t="s">
        <v>75</v>
      </c>
      <c r="F156" s="127" t="s">
        <v>98</v>
      </c>
      <c r="G156" s="127"/>
      <c r="H156" s="103">
        <f t="shared" si="12"/>
        <v>4.6399999999999997</v>
      </c>
      <c r="I156" s="129">
        <v>4.6399999999999997</v>
      </c>
    </row>
    <row r="157" spans="1:9" ht="15.75" thickBot="1" x14ac:dyDescent="0.3">
      <c r="A157" s="72">
        <v>1657</v>
      </c>
      <c r="B157" s="72" t="s">
        <v>55</v>
      </c>
      <c r="C157" s="72" t="s">
        <v>59</v>
      </c>
      <c r="D157" s="72" t="s">
        <v>57</v>
      </c>
      <c r="E157" s="72" t="s">
        <v>76</v>
      </c>
      <c r="F157" s="84" t="s">
        <v>98</v>
      </c>
      <c r="G157" s="84"/>
      <c r="H157" s="70">
        <f t="shared" si="12"/>
        <v>5.74</v>
      </c>
      <c r="I157" s="60">
        <v>5.74</v>
      </c>
    </row>
    <row r="158" spans="1:9" ht="15.75" thickBot="1" x14ac:dyDescent="0.3">
      <c r="A158" s="72">
        <v>1658</v>
      </c>
      <c r="B158" s="72" t="s">
        <v>55</v>
      </c>
      <c r="C158" s="72" t="s">
        <v>60</v>
      </c>
      <c r="D158" s="72" t="s">
        <v>57</v>
      </c>
      <c r="E158" s="72" t="s">
        <v>63</v>
      </c>
      <c r="F158" s="84" t="s">
        <v>98</v>
      </c>
      <c r="G158" s="84"/>
      <c r="H158" s="70">
        <f t="shared" si="12"/>
        <v>6.57</v>
      </c>
      <c r="I158" s="60">
        <v>6.57</v>
      </c>
    </row>
    <row r="159" spans="1:9" ht="15.75" thickBot="1" x14ac:dyDescent="0.3">
      <c r="A159" s="72">
        <v>1659</v>
      </c>
      <c r="B159" s="72" t="s">
        <v>55</v>
      </c>
      <c r="C159" s="72" t="s">
        <v>62</v>
      </c>
      <c r="D159" s="72" t="s">
        <v>57</v>
      </c>
      <c r="E159" s="72" t="s">
        <v>72</v>
      </c>
      <c r="F159" s="84" t="s">
        <v>98</v>
      </c>
      <c r="G159" s="84"/>
      <c r="H159" s="70">
        <f t="shared" si="12"/>
        <v>8.4499999999999993</v>
      </c>
      <c r="I159" s="60">
        <v>8.4499999999999993</v>
      </c>
    </row>
    <row r="160" spans="1:9" ht="15.75" thickBot="1" x14ac:dyDescent="0.3">
      <c r="A160" s="72">
        <v>1660</v>
      </c>
      <c r="B160" s="72" t="s">
        <v>55</v>
      </c>
      <c r="C160" s="72" t="s">
        <v>64</v>
      </c>
      <c r="D160" s="72" t="s">
        <v>57</v>
      </c>
      <c r="E160" s="72" t="s">
        <v>77</v>
      </c>
      <c r="F160" s="84" t="s">
        <v>98</v>
      </c>
      <c r="G160" s="84"/>
      <c r="H160" s="70">
        <f t="shared" si="12"/>
        <v>12.58</v>
      </c>
      <c r="I160" s="60">
        <v>12.58</v>
      </c>
    </row>
    <row r="161" spans="1:9" ht="15.75" thickBot="1" x14ac:dyDescent="0.3">
      <c r="A161" s="72">
        <v>1974</v>
      </c>
      <c r="B161" s="72" t="s">
        <v>55</v>
      </c>
      <c r="C161" s="72" t="s">
        <v>132</v>
      </c>
      <c r="D161" s="72" t="s">
        <v>57</v>
      </c>
      <c r="E161" s="72" t="s">
        <v>135</v>
      </c>
      <c r="F161" s="84" t="s">
        <v>98</v>
      </c>
      <c r="G161" s="84"/>
      <c r="H161" s="70">
        <f t="shared" si="12"/>
        <v>5.9</v>
      </c>
      <c r="I161" s="60">
        <v>5.9</v>
      </c>
    </row>
    <row r="162" spans="1:9" ht="15.75" thickBot="1" x14ac:dyDescent="0.3">
      <c r="A162" s="72">
        <v>1661</v>
      </c>
      <c r="B162" s="72" t="s">
        <v>55</v>
      </c>
      <c r="C162" s="72" t="s">
        <v>66</v>
      </c>
      <c r="D162" s="72" t="s">
        <v>57</v>
      </c>
      <c r="E162" s="72" t="s">
        <v>61</v>
      </c>
      <c r="F162" s="84" t="s">
        <v>98</v>
      </c>
      <c r="G162" s="84"/>
      <c r="H162" s="70">
        <f t="shared" si="12"/>
        <v>6.41</v>
      </c>
      <c r="I162" s="60">
        <v>6.41</v>
      </c>
    </row>
    <row r="163" spans="1:9" ht="15.75" thickBot="1" x14ac:dyDescent="0.3">
      <c r="A163" s="72">
        <v>1662</v>
      </c>
      <c r="B163" s="72" t="s">
        <v>55</v>
      </c>
      <c r="C163" s="72" t="s">
        <v>68</v>
      </c>
      <c r="D163" s="72" t="s">
        <v>57</v>
      </c>
      <c r="E163" s="72" t="s">
        <v>63</v>
      </c>
      <c r="F163" s="84" t="s">
        <v>98</v>
      </c>
      <c r="G163" s="84"/>
      <c r="H163" s="70">
        <f t="shared" si="12"/>
        <v>7.92</v>
      </c>
      <c r="I163" s="60">
        <v>7.92</v>
      </c>
    </row>
    <row r="164" spans="1:9" ht="15.75" thickBot="1" x14ac:dyDescent="0.3">
      <c r="A164" s="72">
        <v>1663</v>
      </c>
      <c r="B164" s="72" t="s">
        <v>55</v>
      </c>
      <c r="C164" s="72" t="s">
        <v>69</v>
      </c>
      <c r="D164" s="72" t="s">
        <v>57</v>
      </c>
      <c r="E164" s="72" t="s">
        <v>72</v>
      </c>
      <c r="F164" s="84" t="s">
        <v>98</v>
      </c>
      <c r="G164" s="84"/>
      <c r="H164" s="70">
        <f t="shared" si="12"/>
        <v>9.3699999999999992</v>
      </c>
      <c r="I164" s="60">
        <v>9.3699999999999992</v>
      </c>
    </row>
    <row r="165" spans="1:9" ht="15.75" thickBot="1" x14ac:dyDescent="0.3">
      <c r="A165" s="72">
        <v>1664</v>
      </c>
      <c r="B165" s="72" t="s">
        <v>55</v>
      </c>
      <c r="C165" s="72" t="s">
        <v>71</v>
      </c>
      <c r="D165" s="72" t="s">
        <v>57</v>
      </c>
      <c r="E165" s="72" t="s">
        <v>78</v>
      </c>
      <c r="F165" s="84" t="s">
        <v>98</v>
      </c>
      <c r="G165" s="84"/>
      <c r="H165" s="70">
        <f t="shared" si="12"/>
        <v>12.03</v>
      </c>
      <c r="I165" s="60">
        <v>12.03</v>
      </c>
    </row>
    <row r="166" spans="1:9" x14ac:dyDescent="0.25">
      <c r="A166" s="114">
        <v>1665</v>
      </c>
      <c r="B166" s="114" t="s">
        <v>55</v>
      </c>
      <c r="C166" s="114" t="s">
        <v>73</v>
      </c>
      <c r="D166" s="114" t="s">
        <v>57</v>
      </c>
      <c r="E166" s="114" t="s">
        <v>79</v>
      </c>
      <c r="F166" s="128" t="s">
        <v>98</v>
      </c>
      <c r="G166" s="128"/>
      <c r="H166" s="95">
        <f t="shared" si="12"/>
        <v>17.34</v>
      </c>
      <c r="I166" s="130">
        <v>17.34</v>
      </c>
    </row>
    <row r="167" spans="1:9" x14ac:dyDescent="0.25">
      <c r="A167" s="108"/>
      <c r="B167" s="108"/>
      <c r="C167" s="108"/>
      <c r="D167" s="108"/>
      <c r="E167" s="104"/>
      <c r="F167" s="104"/>
      <c r="G167" s="104"/>
      <c r="H167" s="104"/>
      <c r="I167" s="104"/>
    </row>
    <row r="168" spans="1:9" x14ac:dyDescent="0.25">
      <c r="A168" s="223" t="s">
        <v>80</v>
      </c>
      <c r="B168" s="223"/>
      <c r="C168" s="223"/>
      <c r="D168" s="224"/>
      <c r="E168" s="121"/>
      <c r="F168" s="98"/>
      <c r="G168" s="98"/>
      <c r="H168" s="98"/>
      <c r="I168" s="98"/>
    </row>
    <row r="169" spans="1:9" ht="15.75" thickBot="1" x14ac:dyDescent="0.3">
      <c r="A169" s="72">
        <v>1963</v>
      </c>
      <c r="B169" s="72" t="s">
        <v>55</v>
      </c>
      <c r="C169" s="72" t="s">
        <v>56</v>
      </c>
      <c r="D169" s="72" t="s">
        <v>57</v>
      </c>
      <c r="E169" s="110" t="s">
        <v>67</v>
      </c>
      <c r="F169" s="127" t="s">
        <v>98</v>
      </c>
      <c r="G169" s="127"/>
      <c r="H169" s="103">
        <f t="shared" ref="H169:H178" si="13">(I169*$I$7)+I169</f>
        <v>4.5</v>
      </c>
      <c r="I169" s="129">
        <v>4.5</v>
      </c>
    </row>
    <row r="170" spans="1:9" ht="15.75" thickBot="1" x14ac:dyDescent="0.3">
      <c r="A170" s="72">
        <v>1964</v>
      </c>
      <c r="B170" s="72" t="s">
        <v>55</v>
      </c>
      <c r="C170" s="72" t="s">
        <v>59</v>
      </c>
      <c r="D170" s="72" t="s">
        <v>57</v>
      </c>
      <c r="E170" s="72" t="s">
        <v>61</v>
      </c>
      <c r="F170" s="84" t="s">
        <v>98</v>
      </c>
      <c r="G170" s="84"/>
      <c r="H170" s="70">
        <f t="shared" si="13"/>
        <v>5.57</v>
      </c>
      <c r="I170" s="60">
        <v>5.57</v>
      </c>
    </row>
    <row r="171" spans="1:9" ht="15.75" thickBot="1" x14ac:dyDescent="0.3">
      <c r="A171" s="72">
        <v>1965</v>
      </c>
      <c r="B171" s="72" t="s">
        <v>55</v>
      </c>
      <c r="C171" s="72" t="s">
        <v>60</v>
      </c>
      <c r="D171" s="72" t="s">
        <v>57</v>
      </c>
      <c r="E171" s="72" t="s">
        <v>87</v>
      </c>
      <c r="F171" s="84" t="s">
        <v>98</v>
      </c>
      <c r="G171" s="84"/>
      <c r="H171" s="70">
        <f t="shared" si="13"/>
        <v>6.38</v>
      </c>
      <c r="I171" s="60">
        <v>6.38</v>
      </c>
    </row>
    <row r="172" spans="1:9" ht="15.75" thickBot="1" x14ac:dyDescent="0.3">
      <c r="A172" s="72">
        <v>1966</v>
      </c>
      <c r="B172" s="72" t="s">
        <v>55</v>
      </c>
      <c r="C172" s="72" t="s">
        <v>62</v>
      </c>
      <c r="D172" s="72" t="s">
        <v>57</v>
      </c>
      <c r="E172" s="72" t="s">
        <v>88</v>
      </c>
      <c r="F172" s="84" t="s">
        <v>98</v>
      </c>
      <c r="G172" s="84"/>
      <c r="H172" s="70">
        <f t="shared" si="13"/>
        <v>8.19</v>
      </c>
      <c r="I172" s="60">
        <v>8.19</v>
      </c>
    </row>
    <row r="173" spans="1:9" ht="15.75" thickBot="1" x14ac:dyDescent="0.3">
      <c r="A173" s="72">
        <v>1967</v>
      </c>
      <c r="B173" s="72" t="s">
        <v>55</v>
      </c>
      <c r="C173" s="72" t="s">
        <v>64</v>
      </c>
      <c r="D173" s="72" t="s">
        <v>57</v>
      </c>
      <c r="E173" s="72" t="s">
        <v>89</v>
      </c>
      <c r="F173" s="84" t="s">
        <v>98</v>
      </c>
      <c r="G173" s="84"/>
      <c r="H173" s="70">
        <f t="shared" si="13"/>
        <v>12.21</v>
      </c>
      <c r="I173" s="60">
        <v>12.21</v>
      </c>
    </row>
    <row r="174" spans="1:9" ht="15.75" thickBot="1" x14ac:dyDescent="0.3">
      <c r="A174" s="72">
        <v>1968</v>
      </c>
      <c r="B174" s="72" t="s">
        <v>55</v>
      </c>
      <c r="C174" s="72" t="s">
        <v>66</v>
      </c>
      <c r="D174" s="72" t="s">
        <v>57</v>
      </c>
      <c r="E174" s="72" t="s">
        <v>90</v>
      </c>
      <c r="F174" s="84" t="s">
        <v>98</v>
      </c>
      <c r="G174" s="84"/>
      <c r="H174" s="70">
        <f t="shared" si="13"/>
        <v>6.23</v>
      </c>
      <c r="I174" s="60">
        <v>6.23</v>
      </c>
    </row>
    <row r="175" spans="1:9" ht="15.75" thickBot="1" x14ac:dyDescent="0.3">
      <c r="A175" s="72">
        <v>1969</v>
      </c>
      <c r="B175" s="72" t="s">
        <v>55</v>
      </c>
      <c r="C175" s="72" t="s">
        <v>68</v>
      </c>
      <c r="D175" s="72" t="s">
        <v>57</v>
      </c>
      <c r="E175" s="72" t="s">
        <v>78</v>
      </c>
      <c r="F175" s="84" t="s">
        <v>98</v>
      </c>
      <c r="G175" s="84"/>
      <c r="H175" s="70">
        <f t="shared" si="13"/>
        <v>7.67</v>
      </c>
      <c r="I175" s="60">
        <v>7.67</v>
      </c>
    </row>
    <row r="176" spans="1:9" ht="15.75" thickBot="1" x14ac:dyDescent="0.3">
      <c r="A176" s="72">
        <v>1970</v>
      </c>
      <c r="B176" s="72" t="s">
        <v>55</v>
      </c>
      <c r="C176" s="72" t="s">
        <v>69</v>
      </c>
      <c r="D176" s="72" t="s">
        <v>57</v>
      </c>
      <c r="E176" s="72" t="s">
        <v>88</v>
      </c>
      <c r="F176" s="84" t="s">
        <v>98</v>
      </c>
      <c r="G176" s="84"/>
      <c r="H176" s="70">
        <f t="shared" si="13"/>
        <v>9.08</v>
      </c>
      <c r="I176" s="60">
        <v>9.08</v>
      </c>
    </row>
    <row r="177" spans="1:9" ht="15.75" thickBot="1" x14ac:dyDescent="0.3">
      <c r="A177" s="72">
        <v>1971</v>
      </c>
      <c r="B177" s="72" t="s">
        <v>55</v>
      </c>
      <c r="C177" s="72" t="s">
        <v>71</v>
      </c>
      <c r="D177" s="72" t="s">
        <v>57</v>
      </c>
      <c r="E177" s="72" t="s">
        <v>91</v>
      </c>
      <c r="F177" s="84" t="s">
        <v>98</v>
      </c>
      <c r="G177" s="84"/>
      <c r="H177" s="70">
        <f t="shared" si="13"/>
        <v>11.67</v>
      </c>
      <c r="I177" s="60">
        <v>11.67</v>
      </c>
    </row>
    <row r="178" spans="1:9" ht="15.75" thickBot="1" x14ac:dyDescent="0.3">
      <c r="A178" s="72">
        <v>1972</v>
      </c>
      <c r="B178" s="72" t="s">
        <v>55</v>
      </c>
      <c r="C178" s="72" t="s">
        <v>73</v>
      </c>
      <c r="D178" s="72" t="s">
        <v>57</v>
      </c>
      <c r="E178" s="72" t="s">
        <v>92</v>
      </c>
      <c r="F178" s="84" t="s">
        <v>98</v>
      </c>
      <c r="G178" s="84"/>
      <c r="H178" s="70">
        <f t="shared" si="13"/>
        <v>16.829999999999998</v>
      </c>
      <c r="I178" s="60">
        <v>16.829999999999998</v>
      </c>
    </row>
    <row r="179" spans="1:9" x14ac:dyDescent="0.25">
      <c r="A179" s="32"/>
      <c r="F179" s="34"/>
      <c r="G179" s="34"/>
      <c r="H179" s="34"/>
      <c r="I179" s="61"/>
    </row>
    <row r="180" spans="1:9" x14ac:dyDescent="0.25">
      <c r="A180" s="205" t="s">
        <v>93</v>
      </c>
      <c r="B180" s="205"/>
      <c r="F180" s="34"/>
      <c r="G180" s="34"/>
      <c r="H180" s="34"/>
      <c r="I180" s="61"/>
    </row>
    <row r="181" spans="1:9" x14ac:dyDescent="0.25">
      <c r="A181" s="35" t="s">
        <v>94</v>
      </c>
      <c r="F181" s="35" t="s">
        <v>112</v>
      </c>
      <c r="G181" s="35"/>
      <c r="H181" s="35"/>
    </row>
  </sheetData>
  <mergeCells count="44">
    <mergeCell ref="A6:C6"/>
    <mergeCell ref="I7:I8"/>
    <mergeCell ref="A16:C16"/>
    <mergeCell ref="C7:C8"/>
    <mergeCell ref="B7:B8"/>
    <mergeCell ref="A7:A8"/>
    <mergeCell ref="E7:E8"/>
    <mergeCell ref="D7:D8"/>
    <mergeCell ref="A24:C24"/>
    <mergeCell ref="H7:H8"/>
    <mergeCell ref="F7:F8"/>
    <mergeCell ref="G7:G8"/>
    <mergeCell ref="B131:B132"/>
    <mergeCell ref="C131:C132"/>
    <mergeCell ref="D131:D132"/>
    <mergeCell ref="E131:E132"/>
    <mergeCell ref="A131:A132"/>
    <mergeCell ref="I131:I132"/>
    <mergeCell ref="A168:D168"/>
    <mergeCell ref="A180:B180"/>
    <mergeCell ref="A68:C68"/>
    <mergeCell ref="A69:A70"/>
    <mergeCell ref="B69:B70"/>
    <mergeCell ref="C69:C70"/>
    <mergeCell ref="D69:D70"/>
    <mergeCell ref="A154:D154"/>
    <mergeCell ref="A147:B147"/>
    <mergeCell ref="A150:B150"/>
    <mergeCell ref="A75:C75"/>
    <mergeCell ref="A80:C80"/>
    <mergeCell ref="A137:C137"/>
    <mergeCell ref="A142:C142"/>
    <mergeCell ref="A130:C130"/>
    <mergeCell ref="A29:B29"/>
    <mergeCell ref="A33:B33"/>
    <mergeCell ref="A85:B85"/>
    <mergeCell ref="A88:B88"/>
    <mergeCell ref="A37:D37"/>
    <mergeCell ref="E69:E70"/>
    <mergeCell ref="F69:F70"/>
    <mergeCell ref="G69:G70"/>
    <mergeCell ref="H69:H70"/>
    <mergeCell ref="I69:I70"/>
    <mergeCell ref="A51:D51"/>
  </mergeCells>
  <pageMargins left="0.70866141732283472" right="0.70866141732283472" top="0.55118110236220474" bottom="0.55118110236220474" header="0.31496062992125984" footer="0.31496062992125984"/>
  <pageSetup paperSize="9" scale="7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81"/>
  <sheetViews>
    <sheetView zoomScaleNormal="100" workbookViewId="0">
      <selection sqref="A1:I5"/>
    </sheetView>
  </sheetViews>
  <sheetFormatPr defaultRowHeight="15" x14ac:dyDescent="0.25"/>
  <cols>
    <col min="1" max="1" width="7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9.5703125" customWidth="1"/>
    <col min="7" max="7" width="7.42578125" bestFit="1" customWidth="1"/>
    <col min="8" max="8" width="10" bestFit="1" customWidth="1"/>
    <col min="9" max="9" width="9.140625" bestFit="1" customWidth="1"/>
  </cols>
  <sheetData>
    <row r="1" spans="1:9" x14ac:dyDescent="0.25">
      <c r="A1" s="207" t="s">
        <v>0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5" spans="1:9" x14ac:dyDescent="0.25">
      <c r="A5" s="207"/>
      <c r="B5" s="207"/>
      <c r="C5" s="207"/>
      <c r="D5" s="207"/>
      <c r="E5" s="207"/>
      <c r="F5" s="207"/>
      <c r="G5" s="207"/>
      <c r="H5" s="207"/>
      <c r="I5" s="207"/>
    </row>
    <row r="6" spans="1:9" x14ac:dyDescent="0.25">
      <c r="A6" s="241" t="s">
        <v>1</v>
      </c>
      <c r="B6" s="241"/>
      <c r="C6" s="242"/>
      <c r="D6" s="160"/>
      <c r="E6" s="161"/>
      <c r="F6" s="161"/>
      <c r="G6" s="161"/>
      <c r="H6" s="161"/>
      <c r="I6" s="161"/>
    </row>
    <row r="7" spans="1:9" x14ac:dyDescent="0.25">
      <c r="A7" s="244" t="s">
        <v>2</v>
      </c>
      <c r="B7" s="215" t="s">
        <v>3</v>
      </c>
      <c r="C7" s="215" t="s">
        <v>4</v>
      </c>
      <c r="D7" s="227"/>
      <c r="E7" s="214" t="s">
        <v>5</v>
      </c>
      <c r="F7" s="239" t="s">
        <v>6</v>
      </c>
      <c r="G7" s="239" t="s">
        <v>104</v>
      </c>
      <c r="H7" s="216" t="s">
        <v>7</v>
      </c>
      <c r="I7" s="218">
        <v>0.06</v>
      </c>
    </row>
    <row r="8" spans="1:9" ht="15.75" thickBot="1" x14ac:dyDescent="0.3">
      <c r="A8" s="244"/>
      <c r="B8" s="215"/>
      <c r="C8" s="215"/>
      <c r="D8" s="228"/>
      <c r="E8" s="215"/>
      <c r="F8" s="240"/>
      <c r="G8" s="240"/>
      <c r="H8" s="217"/>
      <c r="I8" s="219"/>
    </row>
    <row r="9" spans="1:9" ht="15.75" thickBot="1" x14ac:dyDescent="0.3">
      <c r="A9" s="67">
        <v>8</v>
      </c>
      <c r="B9" s="68" t="s">
        <v>8</v>
      </c>
      <c r="C9" s="68" t="s">
        <v>129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7.4093999999999998</v>
      </c>
      <c r="I9" s="162">
        <f>'Tabela_3%'!H9</f>
        <v>6.99</v>
      </c>
    </row>
    <row r="10" spans="1:9" ht="15.75" thickBot="1" x14ac:dyDescent="0.3">
      <c r="A10" s="67">
        <v>310</v>
      </c>
      <c r="B10" s="68" t="s">
        <v>8</v>
      </c>
      <c r="C10" s="68" t="s">
        <v>129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10.324400000000001</v>
      </c>
      <c r="I10" s="162">
        <f>'Tabela_3%'!H10</f>
        <v>9.74</v>
      </c>
    </row>
    <row r="11" spans="1:9" ht="15.75" thickBot="1" x14ac:dyDescent="0.3">
      <c r="A11" s="67">
        <v>326</v>
      </c>
      <c r="B11" s="68" t="s">
        <v>8</v>
      </c>
      <c r="C11" s="68" t="s">
        <v>129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12.561</v>
      </c>
      <c r="I11" s="162">
        <f>'Tabela_3%'!H11</f>
        <v>11.85</v>
      </c>
    </row>
    <row r="12" spans="1:9" ht="15.75" thickBot="1" x14ac:dyDescent="0.3">
      <c r="A12" s="67">
        <v>13</v>
      </c>
      <c r="B12" s="68" t="s">
        <v>8</v>
      </c>
      <c r="C12" s="68" t="s">
        <v>129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11.532800000000002</v>
      </c>
      <c r="I12" s="162">
        <f>'Tabela_3%'!H12</f>
        <v>10.88</v>
      </c>
    </row>
    <row r="13" spans="1:9" ht="15.75" thickBot="1" x14ac:dyDescent="0.3">
      <c r="A13" s="67">
        <v>313</v>
      </c>
      <c r="B13" s="68" t="s">
        <v>8</v>
      </c>
      <c r="C13" s="68" t="s">
        <v>129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12.6988</v>
      </c>
      <c r="I13" s="162">
        <f>'Tabela_3%'!H13</f>
        <v>11.98</v>
      </c>
    </row>
    <row r="14" spans="1:9" ht="15.75" thickBot="1" x14ac:dyDescent="0.3">
      <c r="A14" s="67">
        <v>329</v>
      </c>
      <c r="B14" s="68" t="s">
        <v>8</v>
      </c>
      <c r="C14" s="68" t="s">
        <v>129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15.0732</v>
      </c>
      <c r="I14" s="162">
        <f>'Tabela_3%'!H14</f>
        <v>14.22</v>
      </c>
    </row>
    <row r="15" spans="1:9" ht="15.75" thickBot="1" x14ac:dyDescent="0.3">
      <c r="A15" s="108"/>
      <c r="B15" s="108"/>
      <c r="C15" s="108"/>
      <c r="I15" s="162">
        <f>'Tabela_3%'!H15</f>
        <v>0</v>
      </c>
    </row>
    <row r="16" spans="1:9" ht="15.75" thickBot="1" x14ac:dyDescent="0.3">
      <c r="A16" s="232" t="s">
        <v>28</v>
      </c>
      <c r="B16" s="232"/>
      <c r="C16" s="232"/>
      <c r="D16" s="158"/>
      <c r="E16" s="158"/>
      <c r="F16" s="158"/>
      <c r="G16" s="158"/>
      <c r="H16" s="159"/>
      <c r="I16" s="162">
        <f>'Tabela_3%'!H16</f>
        <v>0</v>
      </c>
    </row>
    <row r="17" spans="1:9" ht="15.75" thickBot="1" x14ac:dyDescent="0.3">
      <c r="A17" s="67">
        <v>85</v>
      </c>
      <c r="B17" s="68" t="s">
        <v>29</v>
      </c>
      <c r="C17" s="68" t="s">
        <v>30</v>
      </c>
      <c r="D17" s="68" t="s">
        <v>10</v>
      </c>
      <c r="E17" s="68">
        <v>36</v>
      </c>
      <c r="F17" s="69" t="s">
        <v>12</v>
      </c>
      <c r="G17" s="67" t="s">
        <v>31</v>
      </c>
      <c r="H17" s="70">
        <f>(I17*$I$7)+I17</f>
        <v>16.366399999999999</v>
      </c>
      <c r="I17" s="162">
        <f>'Tabela_3%'!H17</f>
        <v>15.44</v>
      </c>
    </row>
    <row r="18" spans="1:9" ht="15.75" thickBot="1" x14ac:dyDescent="0.3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19.991599999999998</v>
      </c>
      <c r="I18" s="162">
        <f>'Tabela_3%'!H18</f>
        <v>18.86</v>
      </c>
    </row>
    <row r="19" spans="1:9" ht="15.75" thickBot="1" x14ac:dyDescent="0.3">
      <c r="A19" s="67">
        <v>279</v>
      </c>
      <c r="B19" s="68" t="s">
        <v>29</v>
      </c>
      <c r="C19" s="93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21.072799999999997</v>
      </c>
      <c r="I19" s="162">
        <f>'Tabela_3%'!H19</f>
        <v>19.88</v>
      </c>
    </row>
    <row r="20" spans="1:9" ht="15.75" thickBot="1" x14ac:dyDescent="0.3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24.167999999999999</v>
      </c>
      <c r="I20" s="162">
        <f>'Tabela_3%'!H20</f>
        <v>22.8</v>
      </c>
    </row>
    <row r="21" spans="1:9" ht="15.75" thickBot="1" x14ac:dyDescent="0.3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26.351599999999998</v>
      </c>
      <c r="I21" s="162">
        <f>'Tabela_3%'!H21</f>
        <v>24.86</v>
      </c>
    </row>
    <row r="22" spans="1:9" ht="15.75" thickBot="1" x14ac:dyDescent="0.3">
      <c r="A22" s="67">
        <v>286</v>
      </c>
      <c r="B22" s="93" t="s">
        <v>29</v>
      </c>
      <c r="C22" s="93" t="s">
        <v>30</v>
      </c>
      <c r="D22" s="93" t="s">
        <v>18</v>
      </c>
      <c r="E22" s="93">
        <v>25</v>
      </c>
      <c r="F22" s="94" t="s">
        <v>12</v>
      </c>
      <c r="G22" s="92" t="s">
        <v>36</v>
      </c>
      <c r="H22" s="95">
        <f t="shared" si="1"/>
        <v>28.471599999999999</v>
      </c>
      <c r="I22" s="162">
        <f>'Tabela_3%'!H22</f>
        <v>26.86</v>
      </c>
    </row>
    <row r="23" spans="1:9" ht="15.75" thickBot="1" x14ac:dyDescent="0.3">
      <c r="A23" s="99"/>
      <c r="B23" s="108"/>
      <c r="C23" s="108"/>
      <c r="D23" s="104"/>
      <c r="E23" s="104"/>
      <c r="F23" s="104"/>
      <c r="G23" s="104"/>
      <c r="H23" s="104"/>
      <c r="I23" s="162">
        <f>'Tabela_3%'!H23</f>
        <v>0</v>
      </c>
    </row>
    <row r="24" spans="1:9" ht="15.75" thickBot="1" x14ac:dyDescent="0.3">
      <c r="A24" s="238" t="s">
        <v>40</v>
      </c>
      <c r="B24" s="234"/>
      <c r="C24" s="235"/>
      <c r="D24" s="109"/>
      <c r="E24" s="105"/>
      <c r="F24" s="105"/>
      <c r="G24" s="106"/>
      <c r="H24" s="107"/>
      <c r="I24" s="162">
        <f>'Tabela_3%'!H24</f>
        <v>0</v>
      </c>
    </row>
    <row r="25" spans="1:9" ht="15.75" thickBot="1" x14ac:dyDescent="0.3">
      <c r="A25" s="67">
        <v>1</v>
      </c>
      <c r="B25" s="68" t="s">
        <v>41</v>
      </c>
      <c r="C25" s="68" t="s">
        <v>129</v>
      </c>
      <c r="D25" s="100" t="s">
        <v>10</v>
      </c>
      <c r="E25" s="100">
        <v>1000</v>
      </c>
      <c r="F25" s="101" t="s">
        <v>12</v>
      </c>
      <c r="G25" s="102"/>
      <c r="H25" s="103">
        <f>(I25*$I$7)+I25</f>
        <v>0.40279999999999999</v>
      </c>
      <c r="I25" s="162">
        <f>'Tabela_3%'!H25</f>
        <v>0.38</v>
      </c>
    </row>
    <row r="26" spans="1:9" ht="15.75" thickBot="1" x14ac:dyDescent="0.3">
      <c r="A26" s="67">
        <v>2</v>
      </c>
      <c r="B26" s="68" t="s">
        <v>43</v>
      </c>
      <c r="C26" s="68" t="s">
        <v>129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0.42400000000000004</v>
      </c>
      <c r="I26" s="162">
        <f>'Tabela_3%'!H26</f>
        <v>0.4</v>
      </c>
    </row>
    <row r="27" spans="1:9" ht="15.75" thickBot="1" x14ac:dyDescent="0.3">
      <c r="A27" s="92">
        <v>3</v>
      </c>
      <c r="B27" s="93" t="s">
        <v>44</v>
      </c>
      <c r="C27" s="68" t="s">
        <v>129</v>
      </c>
      <c r="D27" s="93" t="s">
        <v>18</v>
      </c>
      <c r="E27" s="93">
        <v>1000</v>
      </c>
      <c r="F27" s="94" t="s">
        <v>12</v>
      </c>
      <c r="G27" s="92"/>
      <c r="H27" s="95">
        <f t="shared" si="2"/>
        <v>0.44519999999999998</v>
      </c>
      <c r="I27" s="162">
        <f>'Tabela_3%'!H27</f>
        <v>0.42</v>
      </c>
    </row>
    <row r="28" spans="1:9" ht="15.75" thickBot="1" x14ac:dyDescent="0.3">
      <c r="A28" s="108"/>
      <c r="B28" s="108"/>
      <c r="C28" s="104"/>
      <c r="D28" s="104"/>
      <c r="E28" s="104"/>
      <c r="F28" s="104"/>
      <c r="G28" s="104"/>
      <c r="H28" s="104"/>
      <c r="I28" s="162">
        <f>'Tabela_3%'!H28</f>
        <v>0</v>
      </c>
    </row>
    <row r="29" spans="1:9" ht="15.75" thickBot="1" x14ac:dyDescent="0.3">
      <c r="A29" s="209" t="s">
        <v>123</v>
      </c>
      <c r="B29" s="210"/>
      <c r="C29" s="141" t="s">
        <v>125</v>
      </c>
      <c r="D29" s="140"/>
      <c r="E29" s="208"/>
      <c r="F29" s="208"/>
      <c r="G29" s="208"/>
      <c r="H29" s="208"/>
      <c r="I29" s="162">
        <f>'Tabela_3%'!H29</f>
        <v>0</v>
      </c>
    </row>
    <row r="30" spans="1:9" ht="15.75" thickBot="1" x14ac:dyDescent="0.3">
      <c r="A30" s="67">
        <v>1586</v>
      </c>
      <c r="B30" s="68" t="s">
        <v>121</v>
      </c>
      <c r="C30" s="100" t="s">
        <v>120</v>
      </c>
      <c r="D30" s="100"/>
      <c r="E30" s="100">
        <v>12</v>
      </c>
      <c r="F30" s="101" t="s">
        <v>12</v>
      </c>
      <c r="G30" s="102"/>
      <c r="H30" s="103">
        <f>(I30*$I$7)+I30</f>
        <v>52.47</v>
      </c>
      <c r="I30" s="162">
        <f>'Tabela_3%'!H30</f>
        <v>49.5</v>
      </c>
    </row>
    <row r="31" spans="1:9" ht="15.75" thickBot="1" x14ac:dyDescent="0.3">
      <c r="A31" s="67">
        <v>1797</v>
      </c>
      <c r="B31" s="68" t="s">
        <v>122</v>
      </c>
      <c r="C31" s="68" t="s">
        <v>120</v>
      </c>
      <c r="D31" s="68"/>
      <c r="E31" s="68">
        <v>12</v>
      </c>
      <c r="F31" s="69" t="s">
        <v>12</v>
      </c>
      <c r="G31" s="67"/>
      <c r="H31" s="70">
        <f>(I31*$I$7)+I31</f>
        <v>51.41</v>
      </c>
      <c r="I31" s="162">
        <f>'Tabela_3%'!H31</f>
        <v>48.5</v>
      </c>
    </row>
    <row r="32" spans="1:9" ht="15.75" thickBot="1" x14ac:dyDescent="0.3">
      <c r="A32" s="136"/>
      <c r="B32" s="137"/>
      <c r="C32" s="133"/>
      <c r="D32" s="133"/>
      <c r="E32" s="133"/>
      <c r="F32" s="134"/>
      <c r="G32" s="132"/>
      <c r="H32" s="135"/>
      <c r="I32" s="162">
        <f>'Tabela_3%'!H32</f>
        <v>0</v>
      </c>
    </row>
    <row r="33" spans="1:9" ht="15.75" thickBot="1" x14ac:dyDescent="0.3">
      <c r="A33" s="209" t="s">
        <v>124</v>
      </c>
      <c r="B33" s="210"/>
      <c r="C33" s="141" t="s">
        <v>126</v>
      </c>
      <c r="D33" s="140"/>
      <c r="E33" s="154"/>
      <c r="F33" s="154"/>
      <c r="G33" s="154"/>
      <c r="H33" s="154"/>
      <c r="I33" s="162">
        <f>'Tabela_3%'!H33</f>
        <v>0</v>
      </c>
    </row>
    <row r="34" spans="1:9" ht="15.75" thickBot="1" x14ac:dyDescent="0.3">
      <c r="A34" s="67">
        <v>1588</v>
      </c>
      <c r="B34" s="68" t="s">
        <v>50</v>
      </c>
      <c r="C34" s="100" t="s">
        <v>127</v>
      </c>
      <c r="D34" s="68"/>
      <c r="E34" s="68">
        <v>150</v>
      </c>
      <c r="F34" s="69" t="s">
        <v>12</v>
      </c>
      <c r="G34" s="67"/>
      <c r="H34" s="70">
        <f>(I34*$I$7)+I34</f>
        <v>5.4908000000000001</v>
      </c>
      <c r="I34" s="162">
        <f>'Tabela_3%'!H34</f>
        <v>5.18</v>
      </c>
    </row>
    <row r="35" spans="1:9" ht="15.75" thickBot="1" x14ac:dyDescent="0.3">
      <c r="A35" s="92">
        <v>1587</v>
      </c>
      <c r="B35" s="93" t="s">
        <v>50</v>
      </c>
      <c r="C35" s="93" t="s">
        <v>128</v>
      </c>
      <c r="D35" s="93"/>
      <c r="E35" s="93">
        <v>300</v>
      </c>
      <c r="F35" s="94" t="s">
        <v>12</v>
      </c>
      <c r="G35" s="92"/>
      <c r="H35" s="95">
        <f>(I35*$I$7)+I35</f>
        <v>2.968</v>
      </c>
      <c r="I35" s="162">
        <f>'Tabela_3%'!H35</f>
        <v>2.8</v>
      </c>
    </row>
    <row r="36" spans="1:9" ht="15.75" thickBot="1" x14ac:dyDescent="0.3">
      <c r="A36" s="108"/>
      <c r="B36" s="108"/>
      <c r="C36" s="108"/>
      <c r="D36" s="104"/>
      <c r="E36" s="104"/>
      <c r="F36" s="104"/>
      <c r="G36" s="104"/>
      <c r="H36" s="104"/>
      <c r="I36" s="162">
        <f>'Tabela_3%'!H36</f>
        <v>0</v>
      </c>
    </row>
    <row r="37" spans="1:9" ht="15.75" thickBot="1" x14ac:dyDescent="0.3">
      <c r="A37" s="211" t="s">
        <v>52</v>
      </c>
      <c r="B37" s="212"/>
      <c r="C37" s="212"/>
      <c r="D37" s="142"/>
      <c r="E37" s="112"/>
      <c r="F37" s="112"/>
      <c r="G37" s="112"/>
      <c r="H37" s="112"/>
      <c r="I37" s="162">
        <f>'Tabela_3%'!H37</f>
        <v>0</v>
      </c>
    </row>
    <row r="38" spans="1:9" ht="15.75" thickBot="1" x14ac:dyDescent="0.3">
      <c r="A38" s="72">
        <v>1644</v>
      </c>
      <c r="B38" s="72" t="s">
        <v>55</v>
      </c>
      <c r="C38" s="72" t="s">
        <v>131</v>
      </c>
      <c r="D38" s="72" t="s">
        <v>57</v>
      </c>
      <c r="E38" s="110" t="s">
        <v>133</v>
      </c>
      <c r="F38" s="111" t="s">
        <v>12</v>
      </c>
      <c r="G38" s="112"/>
      <c r="H38" s="103">
        <f>(I38*$I$7)+I38</f>
        <v>3.8795999999999999</v>
      </c>
      <c r="I38" s="162">
        <f>'Tabela_3%'!H38</f>
        <v>3.66</v>
      </c>
    </row>
    <row r="39" spans="1:9" ht="15.75" thickBot="1" x14ac:dyDescent="0.3">
      <c r="A39" s="72">
        <v>1589</v>
      </c>
      <c r="B39" s="72" t="s">
        <v>55</v>
      </c>
      <c r="C39" s="72" t="s">
        <v>56</v>
      </c>
      <c r="D39" s="72" t="s">
        <v>57</v>
      </c>
      <c r="E39" s="110" t="s">
        <v>75</v>
      </c>
      <c r="F39" s="111" t="s">
        <v>12</v>
      </c>
      <c r="G39" s="111"/>
      <c r="H39" s="103">
        <f>(I39*$I$7)+I39</f>
        <v>4.2082000000000006</v>
      </c>
      <c r="I39" s="162">
        <f>'Tabela_3%'!H39</f>
        <v>3.97</v>
      </c>
    </row>
    <row r="40" spans="1:9" ht="15.75" thickBot="1" x14ac:dyDescent="0.3">
      <c r="A40" s="72">
        <v>1590</v>
      </c>
      <c r="B40" s="72" t="s">
        <v>55</v>
      </c>
      <c r="C40" s="72" t="s">
        <v>59</v>
      </c>
      <c r="D40" s="72" t="s">
        <v>57</v>
      </c>
      <c r="E40" s="72" t="s">
        <v>75</v>
      </c>
      <c r="F40" s="73" t="s">
        <v>12</v>
      </c>
      <c r="G40" s="73"/>
      <c r="H40" s="151">
        <f t="shared" ref="H40:H49" si="3">(I40*$I$7)+I40</f>
        <v>5.2046000000000001</v>
      </c>
      <c r="I40" s="162">
        <f>'Tabela_3%'!H40</f>
        <v>4.91</v>
      </c>
    </row>
    <row r="41" spans="1:9" ht="15.75" thickBot="1" x14ac:dyDescent="0.3">
      <c r="A41" s="72">
        <v>1592</v>
      </c>
      <c r="B41" s="72" t="s">
        <v>55</v>
      </c>
      <c r="C41" s="72" t="s">
        <v>60</v>
      </c>
      <c r="D41" s="72" t="s">
        <v>57</v>
      </c>
      <c r="E41" s="72" t="s">
        <v>61</v>
      </c>
      <c r="F41" s="73" t="s">
        <v>12</v>
      </c>
      <c r="G41" s="73"/>
      <c r="H41" s="70">
        <f t="shared" si="3"/>
        <v>5.9677999999999995</v>
      </c>
      <c r="I41" s="162">
        <f>'Tabela_3%'!H41</f>
        <v>5.63</v>
      </c>
    </row>
    <row r="42" spans="1:9" ht="15.75" thickBot="1" x14ac:dyDescent="0.3">
      <c r="A42" s="72">
        <v>1593</v>
      </c>
      <c r="B42" s="72" t="s">
        <v>55</v>
      </c>
      <c r="C42" s="72" t="s">
        <v>62</v>
      </c>
      <c r="D42" s="72" t="s">
        <v>57</v>
      </c>
      <c r="E42" s="72" t="s">
        <v>72</v>
      </c>
      <c r="F42" s="73" t="s">
        <v>12</v>
      </c>
      <c r="G42" s="73"/>
      <c r="H42" s="70">
        <f t="shared" si="3"/>
        <v>7.6849999999999996</v>
      </c>
      <c r="I42" s="162">
        <f>'Tabela_3%'!H42</f>
        <v>7.25</v>
      </c>
    </row>
    <row r="43" spans="1:9" ht="15.75" thickBot="1" x14ac:dyDescent="0.3">
      <c r="A43" s="72">
        <v>1594</v>
      </c>
      <c r="B43" s="72" t="s">
        <v>55</v>
      </c>
      <c r="C43" s="72" t="s">
        <v>64</v>
      </c>
      <c r="D43" s="72" t="s">
        <v>57</v>
      </c>
      <c r="E43" s="72" t="s">
        <v>65</v>
      </c>
      <c r="F43" s="73" t="s">
        <v>12</v>
      </c>
      <c r="G43" s="73"/>
      <c r="H43" s="70">
        <f t="shared" si="3"/>
        <v>11.384399999999999</v>
      </c>
      <c r="I43" s="162">
        <f>'Tabela_3%'!H43</f>
        <v>10.74</v>
      </c>
    </row>
    <row r="44" spans="1:9" ht="15.75" thickBot="1" x14ac:dyDescent="0.3">
      <c r="A44" s="72">
        <v>1973</v>
      </c>
      <c r="B44" s="72" t="s">
        <v>55</v>
      </c>
      <c r="C44" s="72" t="s">
        <v>132</v>
      </c>
      <c r="D44" s="72" t="s">
        <v>57</v>
      </c>
      <c r="E44" s="72" t="s">
        <v>134</v>
      </c>
      <c r="F44" s="111" t="s">
        <v>12</v>
      </c>
      <c r="G44" s="73"/>
      <c r="H44" s="70">
        <f t="shared" si="3"/>
        <v>5.2576000000000001</v>
      </c>
      <c r="I44" s="162">
        <f>'Tabela_3%'!H44</f>
        <v>4.96</v>
      </c>
    </row>
    <row r="45" spans="1:9" ht="15.75" thickBot="1" x14ac:dyDescent="0.3">
      <c r="A45" s="72">
        <v>1595</v>
      </c>
      <c r="B45" s="72" t="s">
        <v>55</v>
      </c>
      <c r="C45" s="72" t="s">
        <v>66</v>
      </c>
      <c r="D45" s="72" t="s">
        <v>57</v>
      </c>
      <c r="E45" s="72" t="s">
        <v>67</v>
      </c>
      <c r="F45" s="73" t="s">
        <v>12</v>
      </c>
      <c r="G45" s="73"/>
      <c r="H45" s="70">
        <f t="shared" si="3"/>
        <v>5.7027999999999999</v>
      </c>
      <c r="I45" s="162">
        <f>'Tabela_3%'!H45</f>
        <v>5.38</v>
      </c>
    </row>
    <row r="46" spans="1:9" ht="15.75" thickBot="1" x14ac:dyDescent="0.3">
      <c r="A46" s="72">
        <v>1596</v>
      </c>
      <c r="B46" s="72" t="s">
        <v>55</v>
      </c>
      <c r="C46" s="72" t="s">
        <v>68</v>
      </c>
      <c r="D46" s="72" t="s">
        <v>57</v>
      </c>
      <c r="E46" s="72" t="s">
        <v>61</v>
      </c>
      <c r="F46" s="73" t="s">
        <v>12</v>
      </c>
      <c r="G46" s="73"/>
      <c r="H46" s="70">
        <f t="shared" si="3"/>
        <v>7.1867999999999999</v>
      </c>
      <c r="I46" s="162">
        <f>'Tabela_3%'!H46</f>
        <v>6.78</v>
      </c>
    </row>
    <row r="47" spans="1:9" ht="15.75" thickBot="1" x14ac:dyDescent="0.3">
      <c r="A47" s="72">
        <v>1597</v>
      </c>
      <c r="B47" s="72" t="s">
        <v>55</v>
      </c>
      <c r="C47" s="72" t="s">
        <v>69</v>
      </c>
      <c r="D47" s="72" t="s">
        <v>57</v>
      </c>
      <c r="E47" s="72" t="s">
        <v>70</v>
      </c>
      <c r="F47" s="73" t="s">
        <v>12</v>
      </c>
      <c r="G47" s="73"/>
      <c r="H47" s="70">
        <f t="shared" si="3"/>
        <v>8.4164000000000012</v>
      </c>
      <c r="I47" s="162">
        <f>'Tabela_3%'!H47</f>
        <v>7.94</v>
      </c>
    </row>
    <row r="48" spans="1:9" ht="15.75" thickBot="1" x14ac:dyDescent="0.3">
      <c r="A48" s="72">
        <v>1598</v>
      </c>
      <c r="B48" s="72" t="s">
        <v>55</v>
      </c>
      <c r="C48" s="72" t="s">
        <v>71</v>
      </c>
      <c r="D48" s="72" t="s">
        <v>57</v>
      </c>
      <c r="E48" s="72" t="s">
        <v>78</v>
      </c>
      <c r="F48" s="73" t="s">
        <v>12</v>
      </c>
      <c r="G48" s="73"/>
      <c r="H48" s="70">
        <f t="shared" si="3"/>
        <v>10.918000000000001</v>
      </c>
      <c r="I48" s="162">
        <f>'Tabela_3%'!H48</f>
        <v>10.3</v>
      </c>
    </row>
    <row r="49" spans="1:9" ht="15.75" thickBot="1" x14ac:dyDescent="0.3">
      <c r="A49" s="72">
        <v>1599</v>
      </c>
      <c r="B49" s="72" t="s">
        <v>55</v>
      </c>
      <c r="C49" s="72" t="s">
        <v>73</v>
      </c>
      <c r="D49" s="72" t="s">
        <v>57</v>
      </c>
      <c r="E49" s="72" t="s">
        <v>74</v>
      </c>
      <c r="F49" s="73" t="s">
        <v>12</v>
      </c>
      <c r="G49" s="73"/>
      <c r="H49" s="70">
        <f t="shared" si="3"/>
        <v>15.6244</v>
      </c>
      <c r="I49" s="162">
        <f>'Tabela_3%'!H49</f>
        <v>14.74</v>
      </c>
    </row>
    <row r="50" spans="1:9" ht="15.75" thickBot="1" x14ac:dyDescent="0.3">
      <c r="A50" s="98"/>
      <c r="B50" s="98"/>
      <c r="C50" s="98"/>
      <c r="I50" s="162">
        <f>'Tabela_3%'!H50</f>
        <v>0</v>
      </c>
    </row>
    <row r="51" spans="1:9" ht="15.75" thickBot="1" x14ac:dyDescent="0.3">
      <c r="A51" s="247" t="s">
        <v>80</v>
      </c>
      <c r="B51" s="248"/>
      <c r="C51" s="248"/>
      <c r="D51" s="142"/>
      <c r="E51" s="112"/>
      <c r="F51" s="112"/>
      <c r="G51" s="112"/>
      <c r="H51" s="112"/>
      <c r="I51" s="162">
        <f>'Tabela_3%'!H51</f>
        <v>0</v>
      </c>
    </row>
    <row r="52" spans="1:9" ht="15.75" thickBot="1" x14ac:dyDescent="0.3">
      <c r="A52" s="72">
        <v>1616</v>
      </c>
      <c r="B52" s="72" t="s">
        <v>55</v>
      </c>
      <c r="C52" s="72" t="s">
        <v>56</v>
      </c>
      <c r="D52" s="110" t="s">
        <v>57</v>
      </c>
      <c r="E52" s="110" t="s">
        <v>75</v>
      </c>
      <c r="F52" s="111" t="s">
        <v>12</v>
      </c>
      <c r="G52" s="116"/>
      <c r="H52" s="103">
        <f t="shared" ref="H52:H61" si="4">(I52*$I$7)+I52</f>
        <v>4.0810000000000004</v>
      </c>
      <c r="I52" s="162">
        <f>'Tabela_3%'!H52</f>
        <v>3.85</v>
      </c>
    </row>
    <row r="53" spans="1:9" ht="15.75" thickBot="1" x14ac:dyDescent="0.3">
      <c r="A53" s="72">
        <v>1617</v>
      </c>
      <c r="B53" s="72" t="s">
        <v>55</v>
      </c>
      <c r="C53" s="72" t="s">
        <v>59</v>
      </c>
      <c r="D53" s="72" t="s">
        <v>57</v>
      </c>
      <c r="E53" s="72" t="s">
        <v>103</v>
      </c>
      <c r="F53" s="73" t="s">
        <v>12</v>
      </c>
      <c r="G53" s="75"/>
      <c r="H53" s="70">
        <v>5.04</v>
      </c>
      <c r="I53" s="162">
        <f>'Tabela_3%'!H53</f>
        <v>4.76</v>
      </c>
    </row>
    <row r="54" spans="1:9" ht="15.75" thickBot="1" x14ac:dyDescent="0.3">
      <c r="A54" s="72">
        <v>1618</v>
      </c>
      <c r="B54" s="72" t="s">
        <v>55</v>
      </c>
      <c r="C54" s="72" t="s">
        <v>60</v>
      </c>
      <c r="D54" s="72" t="s">
        <v>57</v>
      </c>
      <c r="E54" s="72" t="s">
        <v>72</v>
      </c>
      <c r="F54" s="73" t="s">
        <v>12</v>
      </c>
      <c r="G54" s="75"/>
      <c r="H54" s="70">
        <f t="shared" si="4"/>
        <v>5.7981999999999996</v>
      </c>
      <c r="I54" s="162">
        <f>'Tabela_3%'!H54</f>
        <v>5.47</v>
      </c>
    </row>
    <row r="55" spans="1:9" ht="15.75" thickBot="1" x14ac:dyDescent="0.3">
      <c r="A55" s="72">
        <v>1619</v>
      </c>
      <c r="B55" s="72" t="s">
        <v>55</v>
      </c>
      <c r="C55" s="72" t="s">
        <v>62</v>
      </c>
      <c r="D55" s="72" t="s">
        <v>57</v>
      </c>
      <c r="E55" s="72" t="s">
        <v>82</v>
      </c>
      <c r="F55" s="73" t="s">
        <v>12</v>
      </c>
      <c r="G55" s="75"/>
      <c r="H55" s="70">
        <f t="shared" si="4"/>
        <v>7.4518000000000004</v>
      </c>
      <c r="I55" s="162">
        <f>'Tabela_3%'!H55</f>
        <v>7.03</v>
      </c>
    </row>
    <row r="56" spans="1:9" ht="15.75" thickBot="1" x14ac:dyDescent="0.3">
      <c r="A56" s="72">
        <v>1620</v>
      </c>
      <c r="B56" s="72" t="s">
        <v>55</v>
      </c>
      <c r="C56" s="72" t="s">
        <v>64</v>
      </c>
      <c r="D56" s="72" t="s">
        <v>57</v>
      </c>
      <c r="E56" s="72" t="s">
        <v>83</v>
      </c>
      <c r="F56" s="73" t="s">
        <v>12</v>
      </c>
      <c r="G56" s="75"/>
      <c r="H56" s="70">
        <v>11.04</v>
      </c>
      <c r="I56" s="162">
        <f>'Tabela_3%'!H56</f>
        <v>10.42</v>
      </c>
    </row>
    <row r="57" spans="1:9" ht="15.75" thickBot="1" x14ac:dyDescent="0.3">
      <c r="A57" s="72">
        <v>1611</v>
      </c>
      <c r="B57" s="72" t="s">
        <v>55</v>
      </c>
      <c r="C57" s="72" t="s">
        <v>66</v>
      </c>
      <c r="D57" s="72" t="s">
        <v>57</v>
      </c>
      <c r="E57" s="72" t="s">
        <v>84</v>
      </c>
      <c r="F57" s="73" t="s">
        <v>12</v>
      </c>
      <c r="G57" s="75"/>
      <c r="H57" s="70">
        <f t="shared" si="4"/>
        <v>5.5225999999999997</v>
      </c>
      <c r="I57" s="162">
        <f>'Tabela_3%'!H57</f>
        <v>5.21</v>
      </c>
    </row>
    <row r="58" spans="1:9" ht="15.75" thickBot="1" x14ac:dyDescent="0.3">
      <c r="A58" s="72">
        <v>1612</v>
      </c>
      <c r="B58" s="72" t="s">
        <v>55</v>
      </c>
      <c r="C58" s="72" t="s">
        <v>68</v>
      </c>
      <c r="D58" s="72" t="s">
        <v>57</v>
      </c>
      <c r="E58" s="72" t="s">
        <v>72</v>
      </c>
      <c r="F58" s="73" t="s">
        <v>12</v>
      </c>
      <c r="G58" s="75"/>
      <c r="H58" s="70">
        <f t="shared" si="4"/>
        <v>6.9748000000000001</v>
      </c>
      <c r="I58" s="162">
        <f>'Tabela_3%'!H58</f>
        <v>6.58</v>
      </c>
    </row>
    <row r="59" spans="1:9" ht="15.75" thickBot="1" x14ac:dyDescent="0.3">
      <c r="A59" s="72">
        <v>1613</v>
      </c>
      <c r="B59" s="72" t="s">
        <v>55</v>
      </c>
      <c r="C59" s="72" t="s">
        <v>69</v>
      </c>
      <c r="D59" s="72" t="s">
        <v>57</v>
      </c>
      <c r="E59" s="72" t="s">
        <v>78</v>
      </c>
      <c r="F59" s="73" t="s">
        <v>12</v>
      </c>
      <c r="G59" s="75"/>
      <c r="H59" s="70">
        <f t="shared" si="4"/>
        <v>8.1620000000000008</v>
      </c>
      <c r="I59" s="162">
        <f>'Tabela_3%'!H59</f>
        <v>7.7</v>
      </c>
    </row>
    <row r="60" spans="1:9" ht="15.75" thickBot="1" x14ac:dyDescent="0.3">
      <c r="A60" s="72">
        <v>1614</v>
      </c>
      <c r="B60" s="72" t="s">
        <v>55</v>
      </c>
      <c r="C60" s="72" t="s">
        <v>71</v>
      </c>
      <c r="D60" s="72" t="s">
        <v>57</v>
      </c>
      <c r="E60" s="72" t="s">
        <v>85</v>
      </c>
      <c r="F60" s="73" t="s">
        <v>12</v>
      </c>
      <c r="G60" s="75"/>
      <c r="H60" s="70">
        <f t="shared" si="4"/>
        <v>10.589399999999999</v>
      </c>
      <c r="I60" s="162">
        <f>'Tabela_3%'!H60</f>
        <v>9.99</v>
      </c>
    </row>
    <row r="61" spans="1:9" ht="15.75" thickBot="1" x14ac:dyDescent="0.3">
      <c r="A61" s="72">
        <v>1615</v>
      </c>
      <c r="B61" s="72" t="s">
        <v>55</v>
      </c>
      <c r="C61" s="72" t="s">
        <v>73</v>
      </c>
      <c r="D61" s="72" t="s">
        <v>57</v>
      </c>
      <c r="E61" s="72" t="s">
        <v>86</v>
      </c>
      <c r="F61" s="73" t="s">
        <v>12</v>
      </c>
      <c r="G61" s="75"/>
      <c r="H61" s="70">
        <f t="shared" si="4"/>
        <v>15.158000000000001</v>
      </c>
      <c r="I61" s="162">
        <f>'Tabela_3%'!H61</f>
        <v>14.3</v>
      </c>
    </row>
    <row r="62" spans="1:9" x14ac:dyDescent="0.25">
      <c r="A62" s="85"/>
      <c r="B62" s="85"/>
      <c r="C62" s="85"/>
      <c r="D62" s="85"/>
      <c r="E62" s="85"/>
      <c r="F62" s="86"/>
      <c r="G62" s="87"/>
      <c r="H62" s="88"/>
      <c r="I62" s="89"/>
    </row>
    <row r="63" spans="1:9" x14ac:dyDescent="0.25">
      <c r="A63" s="207" t="s">
        <v>0</v>
      </c>
      <c r="B63" s="207"/>
      <c r="C63" s="207"/>
      <c r="D63" s="207"/>
      <c r="E63" s="207"/>
      <c r="F63" s="207"/>
      <c r="G63" s="207"/>
      <c r="H63" s="207"/>
      <c r="I63" s="207"/>
    </row>
    <row r="64" spans="1:9" x14ac:dyDescent="0.25">
      <c r="A64" s="207"/>
      <c r="B64" s="207"/>
      <c r="C64" s="207"/>
      <c r="D64" s="207"/>
      <c r="E64" s="207"/>
      <c r="F64" s="207"/>
      <c r="G64" s="207"/>
      <c r="H64" s="207"/>
      <c r="I64" s="207"/>
    </row>
    <row r="65" spans="1:9" x14ac:dyDescent="0.25">
      <c r="A65" s="207"/>
      <c r="B65" s="207"/>
      <c r="C65" s="207"/>
      <c r="D65" s="207"/>
      <c r="E65" s="207"/>
      <c r="F65" s="207"/>
      <c r="G65" s="207"/>
      <c r="H65" s="207"/>
      <c r="I65" s="207"/>
    </row>
    <row r="66" spans="1:9" x14ac:dyDescent="0.25">
      <c r="A66" s="207"/>
      <c r="B66" s="207"/>
      <c r="C66" s="207"/>
      <c r="D66" s="207"/>
      <c r="E66" s="207"/>
      <c r="F66" s="207"/>
      <c r="G66" s="207"/>
      <c r="H66" s="207"/>
      <c r="I66" s="207"/>
    </row>
    <row r="67" spans="1:9" x14ac:dyDescent="0.25">
      <c r="A67" s="207"/>
      <c r="B67" s="207"/>
      <c r="C67" s="207"/>
      <c r="D67" s="207"/>
      <c r="E67" s="207"/>
      <c r="F67" s="207"/>
      <c r="G67" s="207"/>
      <c r="H67" s="207"/>
      <c r="I67" s="207"/>
    </row>
    <row r="68" spans="1:9" x14ac:dyDescent="0.25">
      <c r="A68" s="225" t="s">
        <v>1</v>
      </c>
      <c r="B68" s="225"/>
      <c r="C68" s="226"/>
      <c r="D68" s="118"/>
      <c r="E68" s="117"/>
      <c r="F68" s="117"/>
      <c r="G68" s="117"/>
      <c r="H68" s="119"/>
      <c r="I68" s="117"/>
    </row>
    <row r="69" spans="1:9" x14ac:dyDescent="0.25">
      <c r="A69" s="215" t="s">
        <v>2</v>
      </c>
      <c r="B69" s="215" t="s">
        <v>3</v>
      </c>
      <c r="C69" s="215" t="s">
        <v>4</v>
      </c>
      <c r="D69" s="227"/>
      <c r="E69" s="214" t="s">
        <v>5</v>
      </c>
      <c r="F69" s="214" t="s">
        <v>6</v>
      </c>
      <c r="G69" s="214" t="s">
        <v>104</v>
      </c>
      <c r="H69" s="216" t="s">
        <v>7</v>
      </c>
      <c r="I69" s="218"/>
    </row>
    <row r="70" spans="1:9" ht="15.75" thickBot="1" x14ac:dyDescent="0.3">
      <c r="A70" s="215"/>
      <c r="B70" s="215"/>
      <c r="C70" s="215"/>
      <c r="D70" s="228"/>
      <c r="E70" s="215"/>
      <c r="F70" s="215"/>
      <c r="G70" s="215"/>
      <c r="H70" s="217"/>
      <c r="I70" s="219"/>
    </row>
    <row r="71" spans="1:9" ht="15.75" thickBot="1" x14ac:dyDescent="0.3">
      <c r="A71" s="68">
        <v>51</v>
      </c>
      <c r="B71" s="68" t="s">
        <v>8</v>
      </c>
      <c r="C71" s="68" t="s">
        <v>107</v>
      </c>
      <c r="D71" s="68" t="s">
        <v>10</v>
      </c>
      <c r="E71" s="68">
        <v>40</v>
      </c>
      <c r="F71" s="80" t="s">
        <v>26</v>
      </c>
      <c r="G71" s="68" t="s">
        <v>27</v>
      </c>
      <c r="H71" s="70">
        <f t="shared" ref="H71:H73" si="5">(I71*$I$7)+I71</f>
        <v>15.3276</v>
      </c>
      <c r="I71" s="162">
        <f>'Tabela_3%'!H71</f>
        <v>14.46</v>
      </c>
    </row>
    <row r="72" spans="1:9" ht="15.75" thickBot="1" x14ac:dyDescent="0.3">
      <c r="A72" s="68">
        <v>339</v>
      </c>
      <c r="B72" s="68" t="s">
        <v>8</v>
      </c>
      <c r="C72" s="68" t="s">
        <v>107</v>
      </c>
      <c r="D72" s="68" t="s">
        <v>15</v>
      </c>
      <c r="E72" s="68">
        <v>32</v>
      </c>
      <c r="F72" s="80" t="s">
        <v>26</v>
      </c>
      <c r="G72" s="68" t="s">
        <v>27</v>
      </c>
      <c r="H72" s="70">
        <f t="shared" si="5"/>
        <v>17.5748</v>
      </c>
      <c r="I72" s="162">
        <f>'Tabela_3%'!H72</f>
        <v>16.579999999999998</v>
      </c>
    </row>
    <row r="73" spans="1:9" ht="15.75" thickBot="1" x14ac:dyDescent="0.3">
      <c r="A73" s="93">
        <v>349</v>
      </c>
      <c r="B73" s="93" t="s">
        <v>8</v>
      </c>
      <c r="C73" s="93" t="s">
        <v>107</v>
      </c>
      <c r="D73" s="93" t="s">
        <v>18</v>
      </c>
      <c r="E73" s="93">
        <v>32</v>
      </c>
      <c r="F73" s="120" t="s">
        <v>26</v>
      </c>
      <c r="G73" s="93" t="s">
        <v>27</v>
      </c>
      <c r="H73" s="95">
        <f t="shared" si="5"/>
        <v>20.373199999999997</v>
      </c>
      <c r="I73" s="162">
        <f>'Tabela_3%'!H73</f>
        <v>19.22</v>
      </c>
    </row>
    <row r="74" spans="1:9" ht="15.75" thickBot="1" x14ac:dyDescent="0.3">
      <c r="A74" s="108"/>
      <c r="B74" s="108"/>
      <c r="C74" s="108"/>
      <c r="D74" s="104"/>
      <c r="E74" s="104"/>
      <c r="F74" s="104"/>
      <c r="G74" s="104"/>
      <c r="H74" s="104"/>
      <c r="I74" s="162"/>
    </row>
    <row r="75" spans="1:9" ht="15.75" thickBot="1" x14ac:dyDescent="0.3">
      <c r="A75" s="232" t="s">
        <v>28</v>
      </c>
      <c r="B75" s="232"/>
      <c r="C75" s="233"/>
      <c r="D75" s="121"/>
      <c r="E75" s="98"/>
      <c r="F75" s="98"/>
      <c r="G75" s="98"/>
      <c r="H75" s="98"/>
      <c r="I75" s="162"/>
    </row>
    <row r="76" spans="1:9" ht="15.75" thickBot="1" x14ac:dyDescent="0.3">
      <c r="A76" s="67">
        <v>132</v>
      </c>
      <c r="B76" s="68" t="s">
        <v>29</v>
      </c>
      <c r="C76" s="68" t="s">
        <v>30</v>
      </c>
      <c r="D76" s="100" t="s">
        <v>10</v>
      </c>
      <c r="E76" s="68">
        <v>20</v>
      </c>
      <c r="F76" s="122" t="s">
        <v>26</v>
      </c>
      <c r="G76" s="102" t="s">
        <v>37</v>
      </c>
      <c r="H76" s="103">
        <f t="shared" ref="H76:H78" si="6">(I76*$I$7)+I76</f>
        <v>31.450200000000002</v>
      </c>
      <c r="I76" s="162">
        <f>'Tabela_3%'!H76</f>
        <v>29.67</v>
      </c>
    </row>
    <row r="77" spans="1:9" ht="15.75" thickBot="1" x14ac:dyDescent="0.3">
      <c r="A77" s="67">
        <v>294</v>
      </c>
      <c r="B77" s="68" t="s">
        <v>29</v>
      </c>
      <c r="C77" s="68" t="s">
        <v>30</v>
      </c>
      <c r="D77" s="68" t="s">
        <v>15</v>
      </c>
      <c r="E77" s="68">
        <v>20</v>
      </c>
      <c r="F77" s="81" t="s">
        <v>26</v>
      </c>
      <c r="G77" s="67" t="s">
        <v>38</v>
      </c>
      <c r="H77" s="70">
        <f t="shared" si="6"/>
        <v>32.4148</v>
      </c>
      <c r="I77" s="162">
        <f>'Tabela_3%'!H77</f>
        <v>30.58</v>
      </c>
    </row>
    <row r="78" spans="1:9" ht="15.75" thickBot="1" x14ac:dyDescent="0.3">
      <c r="A78" s="92">
        <v>300</v>
      </c>
      <c r="B78" s="93" t="s">
        <v>29</v>
      </c>
      <c r="C78" s="93" t="s">
        <v>30</v>
      </c>
      <c r="D78" s="93" t="s">
        <v>18</v>
      </c>
      <c r="E78" s="93">
        <v>20</v>
      </c>
      <c r="F78" s="131" t="s">
        <v>26</v>
      </c>
      <c r="G78" s="92" t="s">
        <v>39</v>
      </c>
      <c r="H78" s="95">
        <f t="shared" si="6"/>
        <v>34.916399999999996</v>
      </c>
      <c r="I78" s="162">
        <f>'Tabela_3%'!H78</f>
        <v>32.94</v>
      </c>
    </row>
    <row r="79" spans="1:9" ht="15.75" thickBot="1" x14ac:dyDescent="0.3">
      <c r="A79" s="108"/>
      <c r="B79" s="108"/>
      <c r="C79" s="108"/>
      <c r="D79" s="104"/>
      <c r="E79" s="104"/>
      <c r="F79" s="104"/>
      <c r="G79" s="104"/>
      <c r="H79" s="104"/>
      <c r="I79" s="162"/>
    </row>
    <row r="80" spans="1:9" ht="15.75" thickBot="1" x14ac:dyDescent="0.3">
      <c r="A80" s="234" t="s">
        <v>40</v>
      </c>
      <c r="B80" s="234"/>
      <c r="C80" s="235"/>
      <c r="D80" s="121"/>
      <c r="E80" s="98"/>
      <c r="F80" s="98"/>
      <c r="G80" s="98"/>
      <c r="H80" s="98"/>
      <c r="I80" s="162"/>
    </row>
    <row r="81" spans="1:9" ht="15.75" thickBot="1" x14ac:dyDescent="0.3">
      <c r="A81" s="67">
        <v>152</v>
      </c>
      <c r="B81" s="68" t="s">
        <v>41</v>
      </c>
      <c r="C81" s="68" t="s">
        <v>107</v>
      </c>
      <c r="D81" s="100" t="s">
        <v>10</v>
      </c>
      <c r="E81" s="100">
        <v>1000</v>
      </c>
      <c r="F81" s="122" t="s">
        <v>26</v>
      </c>
      <c r="G81" s="102"/>
      <c r="H81" s="103">
        <f t="shared" ref="H81:H83" si="7">(I81*$I$7)+I81</f>
        <v>0.46639999999999998</v>
      </c>
      <c r="I81" s="162">
        <f>'Tabela_3%'!H81</f>
        <v>0.44</v>
      </c>
    </row>
    <row r="82" spans="1:9" ht="15.75" thickBot="1" x14ac:dyDescent="0.3">
      <c r="A82" s="67">
        <v>153</v>
      </c>
      <c r="B82" s="68" t="s">
        <v>43</v>
      </c>
      <c r="C82" s="68" t="s">
        <v>107</v>
      </c>
      <c r="D82" s="68" t="s">
        <v>15</v>
      </c>
      <c r="E82" s="68">
        <v>1000</v>
      </c>
      <c r="F82" s="81" t="s">
        <v>26</v>
      </c>
      <c r="G82" s="67"/>
      <c r="H82" s="70">
        <f t="shared" si="7"/>
        <v>0.49819999999999998</v>
      </c>
      <c r="I82" s="162">
        <f>'Tabela_3%'!H82</f>
        <v>0.47</v>
      </c>
    </row>
    <row r="83" spans="1:9" ht="15.75" thickBot="1" x14ac:dyDescent="0.3">
      <c r="A83" s="92">
        <v>154</v>
      </c>
      <c r="B83" s="93" t="s">
        <v>44</v>
      </c>
      <c r="C83" s="68" t="s">
        <v>107</v>
      </c>
      <c r="D83" s="93" t="s">
        <v>18</v>
      </c>
      <c r="E83" s="93">
        <v>1000</v>
      </c>
      <c r="F83" s="131" t="s">
        <v>26</v>
      </c>
      <c r="G83" s="92"/>
      <c r="H83" s="95">
        <f t="shared" si="7"/>
        <v>0.51939999999999997</v>
      </c>
      <c r="I83" s="162">
        <f>'Tabela_3%'!H83</f>
        <v>0.49</v>
      </c>
    </row>
    <row r="84" spans="1:9" ht="15.75" thickBot="1" x14ac:dyDescent="0.3">
      <c r="A84" s="108"/>
      <c r="B84" s="108"/>
      <c r="C84" s="108"/>
      <c r="D84" s="104"/>
      <c r="E84" s="104"/>
      <c r="F84" s="104"/>
      <c r="G84" s="104"/>
      <c r="H84" s="104"/>
      <c r="I84" s="162"/>
    </row>
    <row r="85" spans="1:9" ht="15.75" thickBot="1" x14ac:dyDescent="0.3">
      <c r="A85" s="209" t="s">
        <v>123</v>
      </c>
      <c r="B85" s="210"/>
      <c r="C85" s="141" t="s">
        <v>125</v>
      </c>
      <c r="D85" s="121"/>
      <c r="E85" s="98"/>
      <c r="F85" s="98"/>
      <c r="G85" s="98"/>
      <c r="H85" s="98"/>
      <c r="I85" s="162"/>
    </row>
    <row r="86" spans="1:9" ht="15.75" thickBot="1" x14ac:dyDescent="0.3">
      <c r="A86" s="67">
        <v>155</v>
      </c>
      <c r="B86" s="68" t="s">
        <v>117</v>
      </c>
      <c r="C86" s="68" t="s">
        <v>120</v>
      </c>
      <c r="D86" s="100"/>
      <c r="E86" s="100">
        <v>12</v>
      </c>
      <c r="F86" s="122" t="s">
        <v>26</v>
      </c>
      <c r="G86" s="102" t="s">
        <v>119</v>
      </c>
      <c r="H86" s="103">
        <f>(I86*$I$7)+I86</f>
        <v>75.260000000000005</v>
      </c>
      <c r="I86" s="162">
        <f>'Tabela_3%'!H86</f>
        <v>71</v>
      </c>
    </row>
    <row r="87" spans="1:9" ht="15.75" thickBot="1" x14ac:dyDescent="0.3">
      <c r="A87" s="8"/>
      <c r="B87" s="9"/>
      <c r="C87" s="9"/>
      <c r="D87" s="9"/>
      <c r="E87" s="9"/>
      <c r="F87" s="90"/>
      <c r="G87" s="8"/>
      <c r="H87" s="88"/>
      <c r="I87" s="162"/>
    </row>
    <row r="88" spans="1:9" ht="15.75" thickBot="1" x14ac:dyDescent="0.3">
      <c r="A88" s="209" t="s">
        <v>124</v>
      </c>
      <c r="B88" s="210"/>
      <c r="C88" s="141" t="s">
        <v>126</v>
      </c>
      <c r="D88" s="121"/>
      <c r="E88" s="98"/>
      <c r="F88" s="98"/>
      <c r="G88" s="98"/>
      <c r="H88" s="98"/>
      <c r="I88" s="162"/>
    </row>
    <row r="89" spans="1:9" ht="15.75" thickBot="1" x14ac:dyDescent="0.3">
      <c r="A89" s="67">
        <v>158</v>
      </c>
      <c r="B89" s="68" t="s">
        <v>50</v>
      </c>
      <c r="C89" s="68" t="s">
        <v>127</v>
      </c>
      <c r="D89" s="68"/>
      <c r="E89" s="68">
        <v>150</v>
      </c>
      <c r="F89" s="81" t="s">
        <v>26</v>
      </c>
      <c r="G89" s="67" t="s">
        <v>130</v>
      </c>
      <c r="H89" s="70">
        <f t="shared" ref="H89" si="8">(I89*$I$7)+I89</f>
        <v>7.3988000000000005</v>
      </c>
      <c r="I89" s="162">
        <f>'Tabela_3%'!H89</f>
        <v>6.98</v>
      </c>
    </row>
    <row r="90" spans="1:9" x14ac:dyDescent="0.25">
      <c r="A90" s="8"/>
      <c r="B90" s="9"/>
      <c r="C90" s="9"/>
      <c r="D90" s="9"/>
      <c r="E90" s="9"/>
      <c r="F90" s="90"/>
      <c r="G90" s="8"/>
      <c r="H90" s="88"/>
      <c r="I90" s="50"/>
    </row>
    <row r="91" spans="1:9" x14ac:dyDescent="0.25">
      <c r="A91" s="8"/>
      <c r="B91" s="9"/>
      <c r="C91" s="9"/>
      <c r="D91" s="9"/>
      <c r="E91" s="9"/>
      <c r="F91" s="90"/>
      <c r="G91" s="8"/>
      <c r="H91" s="88"/>
      <c r="I91" s="50"/>
    </row>
    <row r="92" spans="1:9" x14ac:dyDescent="0.25">
      <c r="A92" s="8"/>
      <c r="B92" s="9"/>
      <c r="C92" s="9"/>
      <c r="D92" s="9"/>
      <c r="E92" s="9"/>
      <c r="F92" s="90"/>
      <c r="G92" s="8"/>
      <c r="H92" s="88"/>
      <c r="I92" s="50"/>
    </row>
    <row r="93" spans="1:9" x14ac:dyDescent="0.25">
      <c r="A93" s="8"/>
      <c r="B93" s="9"/>
      <c r="C93" s="9"/>
      <c r="D93" s="9"/>
      <c r="E93" s="9"/>
      <c r="F93" s="90"/>
      <c r="G93" s="8"/>
      <c r="H93" s="88"/>
      <c r="I93" s="50"/>
    </row>
    <row r="94" spans="1:9" x14ac:dyDescent="0.25">
      <c r="A94" s="8"/>
      <c r="B94" s="9"/>
      <c r="C94" s="9"/>
      <c r="D94" s="9"/>
      <c r="E94" s="9"/>
      <c r="F94" s="90"/>
      <c r="G94" s="8"/>
      <c r="H94" s="88"/>
      <c r="I94" s="50"/>
    </row>
    <row r="95" spans="1:9" x14ac:dyDescent="0.25">
      <c r="A95" s="8"/>
      <c r="B95" s="9"/>
      <c r="C95" s="9"/>
      <c r="D95" s="9"/>
      <c r="E95" s="9"/>
      <c r="F95" s="90"/>
      <c r="G95" s="8"/>
      <c r="H95" s="88"/>
      <c r="I95" s="50"/>
    </row>
    <row r="96" spans="1:9" x14ac:dyDescent="0.25">
      <c r="A96" s="8"/>
      <c r="B96" s="9"/>
      <c r="C96" s="9"/>
      <c r="D96" s="9"/>
      <c r="E96" s="9"/>
      <c r="F96" s="90"/>
      <c r="G96" s="8"/>
      <c r="H96" s="88"/>
      <c r="I96" s="50"/>
    </row>
    <row r="97" spans="1:9" x14ac:dyDescent="0.25">
      <c r="A97" s="8"/>
      <c r="B97" s="9"/>
      <c r="C97" s="9"/>
      <c r="D97" s="9"/>
      <c r="E97" s="9"/>
      <c r="F97" s="90"/>
      <c r="G97" s="8"/>
      <c r="H97" s="88"/>
      <c r="I97" s="50"/>
    </row>
    <row r="98" spans="1:9" x14ac:dyDescent="0.25">
      <c r="A98" s="8"/>
      <c r="B98" s="9"/>
      <c r="C98" s="9"/>
      <c r="D98" s="9"/>
      <c r="E98" s="9"/>
      <c r="F98" s="90"/>
      <c r="G98" s="8"/>
      <c r="H98" s="88"/>
      <c r="I98" s="50"/>
    </row>
    <row r="99" spans="1:9" x14ac:dyDescent="0.25">
      <c r="A99" s="8"/>
      <c r="B99" s="9"/>
      <c r="C99" s="9"/>
      <c r="D99" s="9"/>
      <c r="E99" s="9"/>
      <c r="F99" s="90"/>
      <c r="G99" s="8"/>
      <c r="H99" s="88"/>
      <c r="I99" s="50"/>
    </row>
    <row r="100" spans="1:9" x14ac:dyDescent="0.25">
      <c r="A100" s="8"/>
      <c r="B100" s="9"/>
      <c r="C100" s="9"/>
      <c r="D100" s="9"/>
      <c r="E100" s="9"/>
      <c r="F100" s="90"/>
      <c r="G100" s="8"/>
      <c r="H100" s="88"/>
      <c r="I100" s="50"/>
    </row>
    <row r="101" spans="1:9" x14ac:dyDescent="0.25">
      <c r="A101" s="8"/>
      <c r="B101" s="9"/>
      <c r="C101" s="9"/>
      <c r="D101" s="9"/>
      <c r="E101" s="9"/>
      <c r="F101" s="90"/>
      <c r="G101" s="8"/>
      <c r="H101" s="88"/>
      <c r="I101" s="50"/>
    </row>
    <row r="102" spans="1:9" x14ac:dyDescent="0.25">
      <c r="A102" s="8"/>
      <c r="B102" s="9"/>
      <c r="C102" s="9"/>
      <c r="D102" s="9"/>
      <c r="E102" s="9"/>
      <c r="F102" s="90"/>
      <c r="G102" s="8"/>
      <c r="H102" s="88"/>
      <c r="I102" s="50"/>
    </row>
    <row r="103" spans="1:9" x14ac:dyDescent="0.25">
      <c r="A103" s="8"/>
      <c r="B103" s="9"/>
      <c r="C103" s="9"/>
      <c r="D103" s="9"/>
      <c r="E103" s="9"/>
      <c r="F103" s="90"/>
      <c r="G103" s="8"/>
      <c r="H103" s="88"/>
      <c r="I103" s="50"/>
    </row>
    <row r="104" spans="1:9" x14ac:dyDescent="0.25">
      <c r="A104" s="8"/>
      <c r="B104" s="9"/>
      <c r="C104" s="9"/>
      <c r="D104" s="9"/>
      <c r="E104" s="9"/>
      <c r="F104" s="90"/>
      <c r="G104" s="8"/>
      <c r="H104" s="88"/>
      <c r="I104" s="50"/>
    </row>
    <row r="105" spans="1:9" x14ac:dyDescent="0.25">
      <c r="A105" s="8"/>
      <c r="B105" s="9"/>
      <c r="C105" s="9"/>
      <c r="D105" s="9"/>
      <c r="E105" s="9"/>
      <c r="F105" s="90"/>
      <c r="G105" s="8"/>
      <c r="H105" s="88"/>
      <c r="I105" s="50"/>
    </row>
    <row r="106" spans="1:9" x14ac:dyDescent="0.25">
      <c r="A106" s="8"/>
      <c r="B106" s="9"/>
      <c r="C106" s="9"/>
      <c r="D106" s="9"/>
      <c r="E106" s="9"/>
      <c r="F106" s="90"/>
      <c r="G106" s="8"/>
      <c r="H106" s="88"/>
      <c r="I106" s="50"/>
    </row>
    <row r="107" spans="1:9" x14ac:dyDescent="0.25">
      <c r="A107" s="8"/>
      <c r="B107" s="9"/>
      <c r="C107" s="9"/>
      <c r="D107" s="9"/>
      <c r="E107" s="9"/>
      <c r="F107" s="90"/>
      <c r="G107" s="8"/>
      <c r="H107" s="88"/>
      <c r="I107" s="50"/>
    </row>
    <row r="108" spans="1:9" x14ac:dyDescent="0.25">
      <c r="A108" s="8"/>
      <c r="B108" s="9"/>
      <c r="C108" s="9"/>
      <c r="D108" s="9"/>
      <c r="E108" s="9"/>
      <c r="F108" s="90"/>
      <c r="G108" s="8"/>
      <c r="H108" s="88"/>
      <c r="I108" s="50"/>
    </row>
    <row r="109" spans="1:9" x14ac:dyDescent="0.25">
      <c r="A109" s="8"/>
      <c r="B109" s="9"/>
      <c r="C109" s="9"/>
      <c r="D109" s="9"/>
      <c r="E109" s="9"/>
      <c r="F109" s="90"/>
      <c r="G109" s="8"/>
      <c r="H109" s="88"/>
      <c r="I109" s="50"/>
    </row>
    <row r="110" spans="1:9" x14ac:dyDescent="0.25">
      <c r="A110" s="8"/>
      <c r="B110" s="9"/>
      <c r="C110" s="9"/>
      <c r="D110" s="9"/>
      <c r="E110" s="9"/>
      <c r="F110" s="90"/>
      <c r="G110" s="8"/>
      <c r="H110" s="88"/>
      <c r="I110" s="50"/>
    </row>
    <row r="111" spans="1:9" x14ac:dyDescent="0.25">
      <c r="A111" s="8"/>
      <c r="B111" s="9"/>
      <c r="C111" s="9"/>
      <c r="D111" s="9"/>
      <c r="E111" s="9"/>
      <c r="F111" s="90"/>
      <c r="G111" s="8"/>
      <c r="H111" s="88"/>
      <c r="I111" s="50"/>
    </row>
    <row r="112" spans="1:9" x14ac:dyDescent="0.25">
      <c r="A112" s="8"/>
      <c r="B112" s="9"/>
      <c r="C112" s="9"/>
      <c r="D112" s="9"/>
      <c r="E112" s="9"/>
      <c r="F112" s="90"/>
      <c r="G112" s="8"/>
      <c r="H112" s="88"/>
      <c r="I112" s="50"/>
    </row>
    <row r="113" spans="1:9" x14ac:dyDescent="0.25">
      <c r="A113" s="8"/>
      <c r="B113" s="9"/>
      <c r="C113" s="9"/>
      <c r="D113" s="9"/>
      <c r="E113" s="9"/>
      <c r="F113" s="90"/>
      <c r="G113" s="8"/>
      <c r="H113" s="88"/>
      <c r="I113" s="50"/>
    </row>
    <row r="114" spans="1:9" x14ac:dyDescent="0.25">
      <c r="A114" s="8"/>
      <c r="B114" s="9"/>
      <c r="C114" s="9"/>
      <c r="D114" s="9"/>
      <c r="E114" s="9"/>
      <c r="F114" s="90"/>
      <c r="G114" s="8"/>
      <c r="H114" s="88"/>
      <c r="I114" s="50"/>
    </row>
    <row r="115" spans="1:9" x14ac:dyDescent="0.25">
      <c r="A115" s="8"/>
      <c r="B115" s="9"/>
      <c r="C115" s="9"/>
      <c r="D115" s="9"/>
      <c r="E115" s="9"/>
      <c r="F115" s="90"/>
      <c r="G115" s="8"/>
      <c r="H115" s="88"/>
      <c r="I115" s="50"/>
    </row>
    <row r="116" spans="1:9" x14ac:dyDescent="0.25">
      <c r="A116" s="8"/>
      <c r="B116" s="9"/>
      <c r="C116" s="9"/>
      <c r="D116" s="9"/>
      <c r="E116" s="9"/>
      <c r="F116" s="90"/>
      <c r="G116" s="8"/>
      <c r="H116" s="88"/>
      <c r="I116" s="50"/>
    </row>
    <row r="117" spans="1:9" x14ac:dyDescent="0.25">
      <c r="A117" s="8"/>
      <c r="B117" s="9"/>
      <c r="C117" s="9"/>
      <c r="D117" s="9"/>
      <c r="E117" s="9"/>
      <c r="F117" s="90"/>
      <c r="G117" s="8"/>
      <c r="H117" s="88"/>
      <c r="I117" s="50"/>
    </row>
    <row r="118" spans="1:9" x14ac:dyDescent="0.25">
      <c r="A118" s="8"/>
      <c r="B118" s="9"/>
      <c r="C118" s="9"/>
      <c r="D118" s="9"/>
      <c r="E118" s="9"/>
      <c r="F118" s="90"/>
      <c r="G118" s="8"/>
      <c r="H118" s="88"/>
      <c r="I118" s="50"/>
    </row>
    <row r="119" spans="1:9" x14ac:dyDescent="0.25">
      <c r="A119" s="8"/>
      <c r="B119" s="9"/>
      <c r="C119" s="9"/>
      <c r="D119" s="9"/>
      <c r="E119" s="9"/>
      <c r="F119" s="90"/>
      <c r="G119" s="8"/>
      <c r="H119" s="88"/>
      <c r="I119" s="50"/>
    </row>
    <row r="120" spans="1:9" x14ac:dyDescent="0.25">
      <c r="A120" s="8"/>
      <c r="B120" s="9"/>
      <c r="C120" s="9"/>
      <c r="D120" s="9"/>
      <c r="E120" s="9"/>
      <c r="F120" s="90"/>
      <c r="G120" s="8"/>
      <c r="H120" s="88"/>
      <c r="I120" s="50"/>
    </row>
    <row r="121" spans="1:9" x14ac:dyDescent="0.25">
      <c r="A121" s="8"/>
      <c r="B121" s="9"/>
      <c r="C121" s="9"/>
      <c r="D121" s="9"/>
      <c r="E121" s="9"/>
      <c r="F121" s="90"/>
      <c r="G121" s="8"/>
      <c r="H121" s="88"/>
      <c r="I121" s="50"/>
    </row>
    <row r="122" spans="1:9" x14ac:dyDescent="0.25">
      <c r="A122" s="8"/>
      <c r="B122" s="9"/>
      <c r="C122" s="9"/>
      <c r="D122" s="9"/>
      <c r="E122" s="9"/>
      <c r="F122" s="90"/>
      <c r="G122" s="8"/>
      <c r="H122" s="88"/>
      <c r="I122" s="50"/>
    </row>
    <row r="123" spans="1:9" x14ac:dyDescent="0.25">
      <c r="A123" s="8"/>
      <c r="B123" s="9"/>
      <c r="C123" s="9"/>
      <c r="D123" s="9"/>
      <c r="E123" s="9"/>
      <c r="F123" s="90"/>
      <c r="G123" s="8"/>
      <c r="H123" s="88"/>
      <c r="I123" s="50"/>
    </row>
    <row r="124" spans="1:9" x14ac:dyDescent="0.25">
      <c r="A124" s="8"/>
      <c r="B124" s="9"/>
      <c r="C124" s="9"/>
      <c r="D124" s="9"/>
      <c r="E124" s="9"/>
      <c r="F124" s="90"/>
      <c r="G124" s="8"/>
      <c r="H124" s="88"/>
      <c r="I124" s="50"/>
    </row>
    <row r="125" spans="1:9" x14ac:dyDescent="0.25">
      <c r="A125" s="207" t="s">
        <v>0</v>
      </c>
      <c r="B125" s="207"/>
      <c r="C125" s="207"/>
      <c r="D125" s="207"/>
      <c r="E125" s="207"/>
      <c r="F125" s="207"/>
      <c r="G125" s="207"/>
      <c r="H125" s="207"/>
      <c r="I125" s="207"/>
    </row>
    <row r="126" spans="1:9" x14ac:dyDescent="0.25">
      <c r="A126" s="207"/>
      <c r="B126" s="207"/>
      <c r="C126" s="207"/>
      <c r="D126" s="207"/>
      <c r="E126" s="207"/>
      <c r="F126" s="207"/>
      <c r="G126" s="207"/>
      <c r="H126" s="207"/>
      <c r="I126" s="207"/>
    </row>
    <row r="127" spans="1:9" x14ac:dyDescent="0.25">
      <c r="A127" s="207"/>
      <c r="B127" s="207"/>
      <c r="C127" s="207"/>
      <c r="D127" s="207"/>
      <c r="E127" s="207"/>
      <c r="F127" s="207"/>
      <c r="G127" s="207"/>
      <c r="H127" s="207"/>
      <c r="I127" s="207"/>
    </row>
    <row r="128" spans="1:9" x14ac:dyDescent="0.25">
      <c r="A128" s="207"/>
      <c r="B128" s="207"/>
      <c r="C128" s="207"/>
      <c r="D128" s="207"/>
      <c r="E128" s="207"/>
      <c r="F128" s="207"/>
      <c r="G128" s="207"/>
      <c r="H128" s="207"/>
      <c r="I128" s="207"/>
    </row>
    <row r="129" spans="1:9" x14ac:dyDescent="0.25">
      <c r="A129" s="207"/>
      <c r="B129" s="207"/>
      <c r="C129" s="207"/>
      <c r="D129" s="207"/>
      <c r="E129" s="207"/>
      <c r="F129" s="207"/>
      <c r="G129" s="207"/>
      <c r="H129" s="207"/>
      <c r="I129" s="207"/>
    </row>
    <row r="130" spans="1:9" ht="15.75" thickBot="1" x14ac:dyDescent="0.3">
      <c r="A130" s="225" t="s">
        <v>1</v>
      </c>
      <c r="B130" s="225"/>
      <c r="C130" s="226"/>
      <c r="D130" s="118"/>
      <c r="E130" s="117"/>
      <c r="F130" s="117"/>
      <c r="G130" s="117"/>
      <c r="H130" s="117"/>
      <c r="I130" s="38"/>
    </row>
    <row r="131" spans="1:9" x14ac:dyDescent="0.25">
      <c r="A131" s="215" t="s">
        <v>2</v>
      </c>
      <c r="B131" s="215" t="s">
        <v>3</v>
      </c>
      <c r="C131" s="215" t="s">
        <v>4</v>
      </c>
      <c r="D131" s="227"/>
      <c r="E131" s="214" t="s">
        <v>5</v>
      </c>
      <c r="F131" s="91" t="s">
        <v>6</v>
      </c>
      <c r="G131" s="91" t="s">
        <v>104</v>
      </c>
      <c r="H131" s="123" t="s">
        <v>7</v>
      </c>
      <c r="I131" s="222"/>
    </row>
    <row r="132" spans="1:9" ht="15.75" thickBot="1" x14ac:dyDescent="0.3">
      <c r="A132" s="215"/>
      <c r="B132" s="215"/>
      <c r="C132" s="215"/>
      <c r="D132" s="228"/>
      <c r="E132" s="215"/>
      <c r="F132" s="65"/>
      <c r="G132" s="65"/>
      <c r="H132" s="66"/>
      <c r="I132" s="219"/>
    </row>
    <row r="133" spans="1:9" ht="15.75" thickBot="1" x14ac:dyDescent="0.3">
      <c r="A133" s="68">
        <v>1957</v>
      </c>
      <c r="B133" s="68" t="s">
        <v>8</v>
      </c>
      <c r="C133" s="68" t="s">
        <v>106</v>
      </c>
      <c r="D133" s="68" t="s">
        <v>10</v>
      </c>
      <c r="E133" s="68"/>
      <c r="F133" s="82" t="s">
        <v>105</v>
      </c>
      <c r="G133" s="68" t="s">
        <v>27</v>
      </c>
      <c r="H133" s="70">
        <f>(I133*$I$7)+I133</f>
        <v>29.552799999999998</v>
      </c>
      <c r="I133" s="162">
        <f>'Tabela_3%'!H133</f>
        <v>27.88</v>
      </c>
    </row>
    <row r="134" spans="1:9" ht="15.75" thickBot="1" x14ac:dyDescent="0.3">
      <c r="A134" s="68">
        <v>1958</v>
      </c>
      <c r="B134" s="68" t="s">
        <v>8</v>
      </c>
      <c r="C134" s="68" t="s">
        <v>106</v>
      </c>
      <c r="D134" s="68" t="s">
        <v>15</v>
      </c>
      <c r="E134" s="68"/>
      <c r="F134" s="82" t="s">
        <v>105</v>
      </c>
      <c r="G134" s="68" t="s">
        <v>27</v>
      </c>
      <c r="H134" s="70">
        <f t="shared" ref="H134:H135" si="9">(I134*$I$7)+I134</f>
        <v>30.3902</v>
      </c>
      <c r="I134" s="162">
        <f>'Tabela_3%'!H134</f>
        <v>28.67</v>
      </c>
    </row>
    <row r="135" spans="1:9" ht="15.75" thickBot="1" x14ac:dyDescent="0.3">
      <c r="A135" s="93">
        <v>1959</v>
      </c>
      <c r="B135" s="93" t="s">
        <v>8</v>
      </c>
      <c r="C135" s="93" t="s">
        <v>106</v>
      </c>
      <c r="D135" s="93" t="s">
        <v>18</v>
      </c>
      <c r="E135" s="93"/>
      <c r="F135" s="124" t="s">
        <v>105</v>
      </c>
      <c r="G135" s="93" t="s">
        <v>27</v>
      </c>
      <c r="H135" s="95">
        <f t="shared" si="9"/>
        <v>32.616199999999999</v>
      </c>
      <c r="I135" s="162">
        <f>'Tabela_3%'!H135</f>
        <v>30.77</v>
      </c>
    </row>
    <row r="136" spans="1:9" ht="15.75" thickBot="1" x14ac:dyDescent="0.3">
      <c r="A136" s="108"/>
      <c r="B136" s="108"/>
      <c r="C136" s="108"/>
      <c r="D136" s="104"/>
      <c r="E136" s="104"/>
      <c r="F136" s="104"/>
      <c r="G136" s="104"/>
      <c r="H136" s="104"/>
      <c r="I136" s="162"/>
    </row>
    <row r="137" spans="1:9" ht="15.75" thickBot="1" x14ac:dyDescent="0.3">
      <c r="A137" s="236" t="s">
        <v>28</v>
      </c>
      <c r="B137" s="236"/>
      <c r="C137" s="237"/>
      <c r="D137" s="121"/>
      <c r="E137" s="98"/>
      <c r="F137" s="98"/>
      <c r="G137" s="98"/>
      <c r="H137" s="98"/>
      <c r="I137" s="162"/>
    </row>
    <row r="138" spans="1:9" ht="15.75" thickBot="1" x14ac:dyDescent="0.3">
      <c r="A138" s="67">
        <v>1960</v>
      </c>
      <c r="B138" s="68" t="s">
        <v>29</v>
      </c>
      <c r="C138" s="68" t="s">
        <v>111</v>
      </c>
      <c r="D138" s="100" t="s">
        <v>10</v>
      </c>
      <c r="E138" s="100"/>
      <c r="F138" s="125" t="s">
        <v>105</v>
      </c>
      <c r="G138" s="102" t="s">
        <v>108</v>
      </c>
      <c r="H138" s="103">
        <f t="shared" ref="H138:H140" si="10">(I138*$I$7)+I138</f>
        <v>100.5728</v>
      </c>
      <c r="I138" s="162">
        <f>'Tabela_3%'!H138</f>
        <v>94.88</v>
      </c>
    </row>
    <row r="139" spans="1:9" ht="15.75" thickBot="1" x14ac:dyDescent="0.3">
      <c r="A139" s="67">
        <v>1961</v>
      </c>
      <c r="B139" s="68" t="s">
        <v>29</v>
      </c>
      <c r="C139" s="68" t="s">
        <v>111</v>
      </c>
      <c r="D139" s="68" t="s">
        <v>15</v>
      </c>
      <c r="E139" s="68"/>
      <c r="F139" s="83" t="s">
        <v>105</v>
      </c>
      <c r="G139" s="67" t="s">
        <v>109</v>
      </c>
      <c r="H139" s="70">
        <f t="shared" si="10"/>
        <v>104.622</v>
      </c>
      <c r="I139" s="162">
        <f>'Tabela_3%'!H139</f>
        <v>98.7</v>
      </c>
    </row>
    <row r="140" spans="1:9" ht="15.75" thickBot="1" x14ac:dyDescent="0.3">
      <c r="A140" s="92">
        <v>1962</v>
      </c>
      <c r="B140" s="93" t="s">
        <v>29</v>
      </c>
      <c r="C140" s="93" t="s">
        <v>111</v>
      </c>
      <c r="D140" s="93" t="s">
        <v>18</v>
      </c>
      <c r="E140" s="93"/>
      <c r="F140" s="126" t="s">
        <v>105</v>
      </c>
      <c r="G140" s="92" t="s">
        <v>110</v>
      </c>
      <c r="H140" s="95">
        <f t="shared" si="10"/>
        <v>113.88639999999999</v>
      </c>
      <c r="I140" s="162">
        <f>'Tabela_3%'!H140</f>
        <v>107.44</v>
      </c>
    </row>
    <row r="141" spans="1:9" ht="15.75" thickBot="1" x14ac:dyDescent="0.3">
      <c r="A141" s="108"/>
      <c r="B141" s="108"/>
      <c r="C141" s="108"/>
      <c r="D141" s="104"/>
      <c r="E141" s="104"/>
      <c r="F141" s="104"/>
      <c r="G141" s="104"/>
      <c r="H141" s="104"/>
      <c r="I141" s="162"/>
    </row>
    <row r="142" spans="1:9" ht="15.75" thickBot="1" x14ac:dyDescent="0.3">
      <c r="A142" s="234" t="s">
        <v>40</v>
      </c>
      <c r="B142" s="234"/>
      <c r="C142" s="235"/>
      <c r="D142" s="121"/>
      <c r="E142" s="98"/>
      <c r="F142" s="98"/>
      <c r="G142" s="98"/>
      <c r="H142" s="98"/>
      <c r="I142" s="162"/>
    </row>
    <row r="143" spans="1:9" ht="15.75" thickBot="1" x14ac:dyDescent="0.3">
      <c r="A143" s="68">
        <v>1641</v>
      </c>
      <c r="B143" s="68" t="s">
        <v>95</v>
      </c>
      <c r="C143" s="68" t="s">
        <v>106</v>
      </c>
      <c r="D143" s="100" t="s">
        <v>10</v>
      </c>
      <c r="E143" s="100"/>
      <c r="F143" s="127" t="s">
        <v>98</v>
      </c>
      <c r="G143" s="100"/>
      <c r="H143" s="103">
        <f t="shared" ref="H143:H145" si="11">(I143*$I$7)+I143</f>
        <v>0.63600000000000001</v>
      </c>
      <c r="I143" s="162">
        <f>'Tabela_3%'!H143</f>
        <v>0.6</v>
      </c>
    </row>
    <row r="144" spans="1:9" ht="15.75" thickBot="1" x14ac:dyDescent="0.3">
      <c r="A144" s="68">
        <v>1642</v>
      </c>
      <c r="B144" s="68" t="s">
        <v>96</v>
      </c>
      <c r="C144" s="68" t="s">
        <v>106</v>
      </c>
      <c r="D144" s="68" t="s">
        <v>15</v>
      </c>
      <c r="E144" s="68"/>
      <c r="F144" s="84" t="s">
        <v>98</v>
      </c>
      <c r="G144" s="68"/>
      <c r="H144" s="70">
        <f t="shared" si="11"/>
        <v>0.65720000000000001</v>
      </c>
      <c r="I144" s="162">
        <f>'Tabela_3%'!H144</f>
        <v>0.62</v>
      </c>
    </row>
    <row r="145" spans="1:9" ht="15.75" thickBot="1" x14ac:dyDescent="0.3">
      <c r="A145" s="93">
        <v>1643</v>
      </c>
      <c r="B145" s="93" t="s">
        <v>97</v>
      </c>
      <c r="C145" s="68" t="s">
        <v>106</v>
      </c>
      <c r="D145" s="93" t="s">
        <v>18</v>
      </c>
      <c r="E145" s="93"/>
      <c r="F145" s="128" t="s">
        <v>98</v>
      </c>
      <c r="G145" s="93"/>
      <c r="H145" s="95">
        <f t="shared" si="11"/>
        <v>0.68900000000000006</v>
      </c>
      <c r="I145" s="162">
        <f>'Tabela_3%'!H145</f>
        <v>0.65</v>
      </c>
    </row>
    <row r="146" spans="1:9" ht="15.75" thickBot="1" x14ac:dyDescent="0.3">
      <c r="A146" s="108"/>
      <c r="B146" s="108"/>
      <c r="C146" s="108"/>
      <c r="D146" s="104"/>
      <c r="E146" s="104"/>
      <c r="F146" s="104"/>
      <c r="G146" s="104"/>
      <c r="H146" s="104"/>
      <c r="I146" s="162"/>
    </row>
    <row r="147" spans="1:9" ht="15.75" thickBot="1" x14ac:dyDescent="0.3">
      <c r="A147" s="209" t="s">
        <v>123</v>
      </c>
      <c r="B147" s="210"/>
      <c r="C147" s="141" t="s">
        <v>125</v>
      </c>
      <c r="D147" s="121"/>
      <c r="E147" s="98"/>
      <c r="F147" s="98"/>
      <c r="G147" s="98"/>
      <c r="H147" s="98"/>
      <c r="I147" s="162"/>
    </row>
    <row r="148" spans="1:9" ht="15.75" thickBot="1" x14ac:dyDescent="0.3">
      <c r="A148" s="68">
        <v>1209</v>
      </c>
      <c r="B148" s="68" t="s">
        <v>46</v>
      </c>
      <c r="C148" s="68" t="s">
        <v>120</v>
      </c>
      <c r="D148" s="100"/>
      <c r="E148" s="100"/>
      <c r="F148" s="127" t="s">
        <v>98</v>
      </c>
      <c r="G148" s="100" t="s">
        <v>118</v>
      </c>
      <c r="H148" s="103">
        <f>(I148*$I$7)+I148</f>
        <v>91.69</v>
      </c>
      <c r="I148" s="162">
        <f>'Tabela_3%'!H148</f>
        <v>86.5</v>
      </c>
    </row>
    <row r="149" spans="1:9" ht="15.75" thickBot="1" x14ac:dyDescent="0.3">
      <c r="A149" s="137"/>
      <c r="B149" s="137"/>
      <c r="C149" s="137"/>
      <c r="D149" s="133"/>
      <c r="E149" s="133"/>
      <c r="F149" s="139"/>
      <c r="G149" s="133"/>
      <c r="H149" s="135"/>
      <c r="I149" s="162"/>
    </row>
    <row r="150" spans="1:9" ht="15.75" thickBot="1" x14ac:dyDescent="0.3">
      <c r="A150" s="209" t="s">
        <v>124</v>
      </c>
      <c r="B150" s="210"/>
      <c r="C150" s="141" t="s">
        <v>126</v>
      </c>
      <c r="D150" s="121"/>
      <c r="E150" s="98"/>
      <c r="F150" s="98"/>
      <c r="G150" s="98"/>
      <c r="H150" s="98"/>
      <c r="I150" s="162"/>
    </row>
    <row r="151" spans="1:9" ht="15.75" thickBot="1" x14ac:dyDescent="0.3">
      <c r="A151" s="68">
        <v>1640</v>
      </c>
      <c r="B151" s="68" t="s">
        <v>50</v>
      </c>
      <c r="C151" s="68" t="s">
        <v>127</v>
      </c>
      <c r="D151" s="68"/>
      <c r="E151" s="68"/>
      <c r="F151" s="84" t="s">
        <v>98</v>
      </c>
      <c r="G151" s="68" t="s">
        <v>119</v>
      </c>
      <c r="H151" s="70">
        <f>(I151*$I$7)+I151</f>
        <v>8.4375999999999998</v>
      </c>
      <c r="I151" s="162">
        <f>'Tabela_3%'!H151</f>
        <v>7.96</v>
      </c>
    </row>
    <row r="152" spans="1:9" ht="15.75" thickBot="1" x14ac:dyDescent="0.3">
      <c r="A152" s="93">
        <v>1639</v>
      </c>
      <c r="B152" s="93" t="s">
        <v>50</v>
      </c>
      <c r="C152" s="93" t="s">
        <v>128</v>
      </c>
      <c r="D152" s="93"/>
      <c r="E152" s="93"/>
      <c r="F152" s="128" t="s">
        <v>98</v>
      </c>
      <c r="G152" s="93" t="s">
        <v>119</v>
      </c>
      <c r="H152" s="95">
        <f>(I152*$I$7)+I152</f>
        <v>4.5368000000000004</v>
      </c>
      <c r="I152" s="162">
        <f>'Tabela_3%'!H152</f>
        <v>4.28</v>
      </c>
    </row>
    <row r="153" spans="1:9" ht="15.75" thickBot="1" x14ac:dyDescent="0.3">
      <c r="A153" s="108"/>
      <c r="B153" s="108"/>
      <c r="C153" s="108"/>
      <c r="D153" s="104"/>
      <c r="E153" s="104"/>
      <c r="F153" s="104"/>
      <c r="G153" s="104"/>
      <c r="H153" s="104"/>
      <c r="I153" s="162"/>
    </row>
    <row r="154" spans="1:9" ht="15" customHeight="1" thickBot="1" x14ac:dyDescent="0.3">
      <c r="A154" s="229" t="s">
        <v>52</v>
      </c>
      <c r="B154" s="230"/>
      <c r="C154" s="230"/>
      <c r="D154" s="143"/>
      <c r="E154" s="98"/>
      <c r="F154" s="98"/>
      <c r="G154" s="98"/>
      <c r="H154" s="98"/>
      <c r="I154" s="162"/>
    </row>
    <row r="155" spans="1:9" ht="15.75" thickBot="1" x14ac:dyDescent="0.3">
      <c r="A155" s="72">
        <v>1787</v>
      </c>
      <c r="B155" s="72" t="s">
        <v>55</v>
      </c>
      <c r="C155" s="72" t="s">
        <v>131</v>
      </c>
      <c r="D155" s="72" t="s">
        <v>57</v>
      </c>
      <c r="E155" s="110" t="s">
        <v>133</v>
      </c>
      <c r="F155" s="127" t="s">
        <v>98</v>
      </c>
      <c r="H155" s="103">
        <f t="shared" ref="H155:H166" si="12">(I155*$I$7)+I155</f>
        <v>4.5261999999999993</v>
      </c>
      <c r="I155" s="162">
        <f>'Tabela_3%'!H155</f>
        <v>4.2699999999999996</v>
      </c>
    </row>
    <row r="156" spans="1:9" ht="15.75" thickBot="1" x14ac:dyDescent="0.3">
      <c r="A156" s="72">
        <v>1656</v>
      </c>
      <c r="B156" s="72" t="s">
        <v>55</v>
      </c>
      <c r="C156" s="72" t="s">
        <v>56</v>
      </c>
      <c r="D156" s="72" t="s">
        <v>57</v>
      </c>
      <c r="E156" s="110" t="s">
        <v>75</v>
      </c>
      <c r="F156" s="127" t="s">
        <v>98</v>
      </c>
      <c r="G156" s="127"/>
      <c r="H156" s="103">
        <f t="shared" si="12"/>
        <v>4.9184000000000001</v>
      </c>
      <c r="I156" s="162">
        <f>'Tabela_3%'!H156</f>
        <v>4.6399999999999997</v>
      </c>
    </row>
    <row r="157" spans="1:9" ht="15.75" thickBot="1" x14ac:dyDescent="0.3">
      <c r="A157" s="72">
        <v>1657</v>
      </c>
      <c r="B157" s="72" t="s">
        <v>55</v>
      </c>
      <c r="C157" s="72" t="s">
        <v>59</v>
      </c>
      <c r="D157" s="72" t="s">
        <v>57</v>
      </c>
      <c r="E157" s="72" t="s">
        <v>76</v>
      </c>
      <c r="F157" s="84" t="s">
        <v>98</v>
      </c>
      <c r="G157" s="84"/>
      <c r="H157" s="70">
        <f t="shared" si="12"/>
        <v>6.0844000000000005</v>
      </c>
      <c r="I157" s="162">
        <f>'Tabela_3%'!H157</f>
        <v>5.74</v>
      </c>
    </row>
    <row r="158" spans="1:9" ht="15.75" thickBot="1" x14ac:dyDescent="0.3">
      <c r="A158" s="72">
        <v>1658</v>
      </c>
      <c r="B158" s="72" t="s">
        <v>55</v>
      </c>
      <c r="C158" s="72" t="s">
        <v>60</v>
      </c>
      <c r="D158" s="72" t="s">
        <v>57</v>
      </c>
      <c r="E158" s="72" t="s">
        <v>63</v>
      </c>
      <c r="F158" s="84" t="s">
        <v>98</v>
      </c>
      <c r="G158" s="84"/>
      <c r="H158" s="70">
        <f t="shared" si="12"/>
        <v>6.9641999999999999</v>
      </c>
      <c r="I158" s="162">
        <f>'Tabela_3%'!H158</f>
        <v>6.57</v>
      </c>
    </row>
    <row r="159" spans="1:9" ht="15.75" thickBot="1" x14ac:dyDescent="0.3">
      <c r="A159" s="72">
        <v>1659</v>
      </c>
      <c r="B159" s="72" t="s">
        <v>55</v>
      </c>
      <c r="C159" s="72" t="s">
        <v>62</v>
      </c>
      <c r="D159" s="72" t="s">
        <v>57</v>
      </c>
      <c r="E159" s="72" t="s">
        <v>72</v>
      </c>
      <c r="F159" s="84" t="s">
        <v>98</v>
      </c>
      <c r="G159" s="84"/>
      <c r="H159" s="70">
        <f t="shared" si="12"/>
        <v>8.956999999999999</v>
      </c>
      <c r="I159" s="162">
        <f>'Tabela_3%'!H159</f>
        <v>8.4499999999999993</v>
      </c>
    </row>
    <row r="160" spans="1:9" ht="15.75" thickBot="1" x14ac:dyDescent="0.3">
      <c r="A160" s="72">
        <v>1660</v>
      </c>
      <c r="B160" s="72" t="s">
        <v>55</v>
      </c>
      <c r="C160" s="72" t="s">
        <v>64</v>
      </c>
      <c r="D160" s="72" t="s">
        <v>57</v>
      </c>
      <c r="E160" s="72" t="s">
        <v>77</v>
      </c>
      <c r="F160" s="84" t="s">
        <v>98</v>
      </c>
      <c r="G160" s="84"/>
      <c r="H160" s="70">
        <f t="shared" si="12"/>
        <v>13.3348</v>
      </c>
      <c r="I160" s="162">
        <f>'Tabela_3%'!H160</f>
        <v>12.58</v>
      </c>
    </row>
    <row r="161" spans="1:9" ht="15.75" thickBot="1" x14ac:dyDescent="0.3">
      <c r="A161" s="72">
        <v>1974</v>
      </c>
      <c r="B161" s="72" t="s">
        <v>55</v>
      </c>
      <c r="C161" s="72" t="s">
        <v>132</v>
      </c>
      <c r="D161" s="72" t="s">
        <v>57</v>
      </c>
      <c r="E161" s="72" t="s">
        <v>135</v>
      </c>
      <c r="F161" s="84" t="s">
        <v>98</v>
      </c>
      <c r="G161" s="84"/>
      <c r="H161" s="70">
        <f t="shared" si="12"/>
        <v>6.2540000000000004</v>
      </c>
      <c r="I161" s="162">
        <f>'Tabela_3%'!H161</f>
        <v>5.9</v>
      </c>
    </row>
    <row r="162" spans="1:9" ht="15.75" thickBot="1" x14ac:dyDescent="0.3">
      <c r="A162" s="72">
        <v>1661</v>
      </c>
      <c r="B162" s="72" t="s">
        <v>55</v>
      </c>
      <c r="C162" s="72" t="s">
        <v>66</v>
      </c>
      <c r="D162" s="72" t="s">
        <v>57</v>
      </c>
      <c r="E162" s="72" t="s">
        <v>61</v>
      </c>
      <c r="F162" s="84" t="s">
        <v>98</v>
      </c>
      <c r="G162" s="84"/>
      <c r="H162" s="70">
        <f t="shared" si="12"/>
        <v>6.7946</v>
      </c>
      <c r="I162" s="162">
        <f>'Tabela_3%'!H162</f>
        <v>6.41</v>
      </c>
    </row>
    <row r="163" spans="1:9" ht="15.75" thickBot="1" x14ac:dyDescent="0.3">
      <c r="A163" s="72">
        <v>1662</v>
      </c>
      <c r="B163" s="72" t="s">
        <v>55</v>
      </c>
      <c r="C163" s="72" t="s">
        <v>68</v>
      </c>
      <c r="D163" s="72" t="s">
        <v>57</v>
      </c>
      <c r="E163" s="72" t="s">
        <v>63</v>
      </c>
      <c r="F163" s="84" t="s">
        <v>98</v>
      </c>
      <c r="G163" s="84"/>
      <c r="H163" s="70">
        <f t="shared" si="12"/>
        <v>8.3951999999999991</v>
      </c>
      <c r="I163" s="162">
        <f>'Tabela_3%'!H163</f>
        <v>7.92</v>
      </c>
    </row>
    <row r="164" spans="1:9" ht="15.75" thickBot="1" x14ac:dyDescent="0.3">
      <c r="A164" s="72">
        <v>1663</v>
      </c>
      <c r="B164" s="72" t="s">
        <v>55</v>
      </c>
      <c r="C164" s="72" t="s">
        <v>69</v>
      </c>
      <c r="D164" s="72" t="s">
        <v>57</v>
      </c>
      <c r="E164" s="72" t="s">
        <v>72</v>
      </c>
      <c r="F164" s="84" t="s">
        <v>98</v>
      </c>
      <c r="G164" s="84"/>
      <c r="H164" s="70">
        <f t="shared" si="12"/>
        <v>9.9321999999999999</v>
      </c>
      <c r="I164" s="162">
        <f>'Tabela_3%'!H164</f>
        <v>9.3699999999999992</v>
      </c>
    </row>
    <row r="165" spans="1:9" ht="15.75" thickBot="1" x14ac:dyDescent="0.3">
      <c r="A165" s="72">
        <v>1664</v>
      </c>
      <c r="B165" s="72" t="s">
        <v>55</v>
      </c>
      <c r="C165" s="72" t="s">
        <v>71</v>
      </c>
      <c r="D165" s="72" t="s">
        <v>57</v>
      </c>
      <c r="E165" s="72" t="s">
        <v>78</v>
      </c>
      <c r="F165" s="84" t="s">
        <v>98</v>
      </c>
      <c r="G165" s="84"/>
      <c r="H165" s="70">
        <f t="shared" si="12"/>
        <v>12.751799999999999</v>
      </c>
      <c r="I165" s="162">
        <f>'Tabela_3%'!H165</f>
        <v>12.03</v>
      </c>
    </row>
    <row r="166" spans="1:9" ht="15.75" thickBot="1" x14ac:dyDescent="0.3">
      <c r="A166" s="72">
        <v>1665</v>
      </c>
      <c r="B166" s="72" t="s">
        <v>55</v>
      </c>
      <c r="C166" s="72" t="s">
        <v>73</v>
      </c>
      <c r="D166" s="72" t="s">
        <v>57</v>
      </c>
      <c r="E166" s="72" t="s">
        <v>79</v>
      </c>
      <c r="F166" s="84" t="s">
        <v>98</v>
      </c>
      <c r="G166" s="84"/>
      <c r="H166" s="70">
        <f t="shared" si="12"/>
        <v>18.380400000000002</v>
      </c>
      <c r="I166" s="162">
        <f>'Tabela_3%'!H166</f>
        <v>17.34</v>
      </c>
    </row>
    <row r="167" spans="1:9" ht="15.75" thickBot="1" x14ac:dyDescent="0.3">
      <c r="A167" s="98"/>
      <c r="B167" s="98"/>
      <c r="C167" s="98"/>
      <c r="I167" s="162"/>
    </row>
    <row r="168" spans="1:9" ht="15" customHeight="1" thickBot="1" x14ac:dyDescent="0.3">
      <c r="A168" s="245" t="s">
        <v>80</v>
      </c>
      <c r="B168" s="246"/>
      <c r="C168" s="246"/>
      <c r="D168" s="143"/>
      <c r="E168" s="98"/>
      <c r="F168" s="98"/>
      <c r="G168" s="98"/>
      <c r="H168" s="98"/>
      <c r="I168" s="162"/>
    </row>
    <row r="169" spans="1:9" ht="15.75" thickBot="1" x14ac:dyDescent="0.3">
      <c r="A169" s="72">
        <v>1963</v>
      </c>
      <c r="B169" s="72" t="s">
        <v>55</v>
      </c>
      <c r="C169" s="72" t="s">
        <v>56</v>
      </c>
      <c r="D169" s="110" t="s">
        <v>57</v>
      </c>
      <c r="E169" s="110" t="s">
        <v>67</v>
      </c>
      <c r="F169" s="127" t="s">
        <v>98</v>
      </c>
      <c r="G169" s="127"/>
      <c r="H169" s="103">
        <f t="shared" ref="H169:H178" si="13">(I169*$I$7)+I169</f>
        <v>4.7699999999999996</v>
      </c>
      <c r="I169" s="162">
        <f>'Tabela_3%'!H169</f>
        <v>4.5</v>
      </c>
    </row>
    <row r="170" spans="1:9" ht="15.75" thickBot="1" x14ac:dyDescent="0.3">
      <c r="A170" s="72">
        <v>1964</v>
      </c>
      <c r="B170" s="72" t="s">
        <v>55</v>
      </c>
      <c r="C170" s="72" t="s">
        <v>59</v>
      </c>
      <c r="D170" s="72" t="s">
        <v>57</v>
      </c>
      <c r="E170" s="72" t="s">
        <v>61</v>
      </c>
      <c r="F170" s="84" t="s">
        <v>98</v>
      </c>
      <c r="G170" s="84"/>
      <c r="H170" s="70">
        <f t="shared" si="13"/>
        <v>5.9042000000000003</v>
      </c>
      <c r="I170" s="162">
        <f>'Tabela_3%'!H170</f>
        <v>5.57</v>
      </c>
    </row>
    <row r="171" spans="1:9" ht="15.75" thickBot="1" x14ac:dyDescent="0.3">
      <c r="A171" s="72">
        <v>1965</v>
      </c>
      <c r="B171" s="72" t="s">
        <v>55</v>
      </c>
      <c r="C171" s="72" t="s">
        <v>60</v>
      </c>
      <c r="D171" s="72" t="s">
        <v>57</v>
      </c>
      <c r="E171" s="72" t="s">
        <v>87</v>
      </c>
      <c r="F171" s="84" t="s">
        <v>98</v>
      </c>
      <c r="G171" s="84"/>
      <c r="H171" s="70">
        <v>6.7</v>
      </c>
      <c r="I171" s="162">
        <f>'Tabela_3%'!H171</f>
        <v>6.38</v>
      </c>
    </row>
    <row r="172" spans="1:9" ht="15.75" thickBot="1" x14ac:dyDescent="0.3">
      <c r="A172" s="72">
        <v>1966</v>
      </c>
      <c r="B172" s="72" t="s">
        <v>55</v>
      </c>
      <c r="C172" s="72" t="s">
        <v>62</v>
      </c>
      <c r="D172" s="72" t="s">
        <v>57</v>
      </c>
      <c r="E172" s="72" t="s">
        <v>88</v>
      </c>
      <c r="F172" s="84" t="s">
        <v>98</v>
      </c>
      <c r="G172" s="84"/>
      <c r="H172" s="70">
        <f t="shared" si="13"/>
        <v>8.6814</v>
      </c>
      <c r="I172" s="162">
        <f>'Tabela_3%'!H172</f>
        <v>8.19</v>
      </c>
    </row>
    <row r="173" spans="1:9" ht="15.75" thickBot="1" x14ac:dyDescent="0.3">
      <c r="A173" s="72">
        <v>1967</v>
      </c>
      <c r="B173" s="72" t="s">
        <v>55</v>
      </c>
      <c r="C173" s="72" t="s">
        <v>64</v>
      </c>
      <c r="D173" s="72" t="s">
        <v>57</v>
      </c>
      <c r="E173" s="72" t="s">
        <v>89</v>
      </c>
      <c r="F173" s="84" t="s">
        <v>98</v>
      </c>
      <c r="G173" s="84"/>
      <c r="H173" s="70">
        <f t="shared" si="13"/>
        <v>12.942600000000001</v>
      </c>
      <c r="I173" s="162">
        <f>'Tabela_3%'!H173</f>
        <v>12.21</v>
      </c>
    </row>
    <row r="174" spans="1:9" ht="15.75" thickBot="1" x14ac:dyDescent="0.3">
      <c r="A174" s="72">
        <v>1968</v>
      </c>
      <c r="B174" s="72" t="s">
        <v>55</v>
      </c>
      <c r="C174" s="72" t="s">
        <v>66</v>
      </c>
      <c r="D174" s="72" t="s">
        <v>57</v>
      </c>
      <c r="E174" s="72" t="s">
        <v>90</v>
      </c>
      <c r="F174" s="84" t="s">
        <v>98</v>
      </c>
      <c r="G174" s="84"/>
      <c r="H174" s="70">
        <f t="shared" si="13"/>
        <v>6.6038000000000006</v>
      </c>
      <c r="I174" s="162">
        <f>'Tabela_3%'!H174</f>
        <v>6.23</v>
      </c>
    </row>
    <row r="175" spans="1:9" ht="15.75" thickBot="1" x14ac:dyDescent="0.3">
      <c r="A175" s="72">
        <v>1969</v>
      </c>
      <c r="B175" s="72" t="s">
        <v>55</v>
      </c>
      <c r="C175" s="72" t="s">
        <v>68</v>
      </c>
      <c r="D175" s="72" t="s">
        <v>57</v>
      </c>
      <c r="E175" s="72" t="s">
        <v>78</v>
      </c>
      <c r="F175" s="84" t="s">
        <v>98</v>
      </c>
      <c r="G175" s="84"/>
      <c r="H175" s="70">
        <f t="shared" si="13"/>
        <v>8.1302000000000003</v>
      </c>
      <c r="I175" s="162">
        <f>'Tabela_3%'!H175</f>
        <v>7.67</v>
      </c>
    </row>
    <row r="176" spans="1:9" ht="15.75" thickBot="1" x14ac:dyDescent="0.3">
      <c r="A176" s="72">
        <v>1970</v>
      </c>
      <c r="B176" s="72" t="s">
        <v>55</v>
      </c>
      <c r="C176" s="72" t="s">
        <v>69</v>
      </c>
      <c r="D176" s="72" t="s">
        <v>57</v>
      </c>
      <c r="E176" s="72" t="s">
        <v>88</v>
      </c>
      <c r="F176" s="84" t="s">
        <v>98</v>
      </c>
      <c r="G176" s="84"/>
      <c r="H176" s="70">
        <f t="shared" si="13"/>
        <v>9.6248000000000005</v>
      </c>
      <c r="I176" s="162">
        <f>'Tabela_3%'!H176</f>
        <v>9.08</v>
      </c>
    </row>
    <row r="177" spans="1:9" ht="15.75" thickBot="1" x14ac:dyDescent="0.3">
      <c r="A177" s="72">
        <v>1971</v>
      </c>
      <c r="B177" s="72" t="s">
        <v>55</v>
      </c>
      <c r="C177" s="72" t="s">
        <v>71</v>
      </c>
      <c r="D177" s="72" t="s">
        <v>57</v>
      </c>
      <c r="E177" s="72" t="s">
        <v>91</v>
      </c>
      <c r="F177" s="84" t="s">
        <v>98</v>
      </c>
      <c r="G177" s="84"/>
      <c r="H177" s="70">
        <f t="shared" si="13"/>
        <v>12.370200000000001</v>
      </c>
      <c r="I177" s="162">
        <f>'Tabela_3%'!H177</f>
        <v>11.67</v>
      </c>
    </row>
    <row r="178" spans="1:9" ht="15.75" thickBot="1" x14ac:dyDescent="0.3">
      <c r="A178" s="72">
        <v>1972</v>
      </c>
      <c r="B178" s="72" t="s">
        <v>55</v>
      </c>
      <c r="C178" s="72" t="s">
        <v>73</v>
      </c>
      <c r="D178" s="72" t="s">
        <v>57</v>
      </c>
      <c r="E178" s="72" t="s">
        <v>92</v>
      </c>
      <c r="F178" s="84" t="s">
        <v>98</v>
      </c>
      <c r="G178" s="84"/>
      <c r="H178" s="70">
        <f t="shared" si="13"/>
        <v>17.839799999999997</v>
      </c>
      <c r="I178" s="162">
        <f>'Tabela_3%'!H178</f>
        <v>16.829999999999998</v>
      </c>
    </row>
    <row r="179" spans="1:9" x14ac:dyDescent="0.25">
      <c r="A179" s="32"/>
      <c r="F179" s="34"/>
      <c r="G179" s="34"/>
      <c r="H179" s="34"/>
      <c r="I179" s="61"/>
    </row>
    <row r="180" spans="1:9" x14ac:dyDescent="0.25">
      <c r="A180" s="205" t="s">
        <v>93</v>
      </c>
      <c r="B180" s="205"/>
      <c r="F180" s="34"/>
      <c r="G180" s="34"/>
      <c r="H180" s="34"/>
      <c r="I180" s="61"/>
    </row>
    <row r="181" spans="1:9" x14ac:dyDescent="0.25">
      <c r="A181" s="35" t="s">
        <v>94</v>
      </c>
      <c r="F181" s="35" t="s">
        <v>112</v>
      </c>
      <c r="G181" s="35"/>
      <c r="H181" s="35"/>
    </row>
  </sheetData>
  <mergeCells count="48">
    <mergeCell ref="A1:I5"/>
    <mergeCell ref="A6:C6"/>
    <mergeCell ref="A7:A8"/>
    <mergeCell ref="B7:B8"/>
    <mergeCell ref="C7:C8"/>
    <mergeCell ref="D7:D8"/>
    <mergeCell ref="E7:E8"/>
    <mergeCell ref="F7:F8"/>
    <mergeCell ref="G7:G8"/>
    <mergeCell ref="A68:C68"/>
    <mergeCell ref="H7:H8"/>
    <mergeCell ref="I7:I8"/>
    <mergeCell ref="A16:C16"/>
    <mergeCell ref="A24:C24"/>
    <mergeCell ref="A29:B29"/>
    <mergeCell ref="E29:H29"/>
    <mergeCell ref="A33:B33"/>
    <mergeCell ref="A63:I67"/>
    <mergeCell ref="A37:C37"/>
    <mergeCell ref="A51:C51"/>
    <mergeCell ref="A85:B85"/>
    <mergeCell ref="A69:A70"/>
    <mergeCell ref="B69:B70"/>
    <mergeCell ref="C69:C70"/>
    <mergeCell ref="D69:D70"/>
    <mergeCell ref="G69:G70"/>
    <mergeCell ref="H69:H70"/>
    <mergeCell ref="I69:I70"/>
    <mergeCell ref="A75:C75"/>
    <mergeCell ref="A80:C80"/>
    <mergeCell ref="E69:E70"/>
    <mergeCell ref="F69:F70"/>
    <mergeCell ref="A88:B88"/>
    <mergeCell ref="A125:I129"/>
    <mergeCell ref="A130:C130"/>
    <mergeCell ref="A131:A132"/>
    <mergeCell ref="B131:B132"/>
    <mergeCell ref="C131:C132"/>
    <mergeCell ref="D131:D132"/>
    <mergeCell ref="E131:E132"/>
    <mergeCell ref="I131:I132"/>
    <mergeCell ref="A180:B180"/>
    <mergeCell ref="A137:C137"/>
    <mergeCell ref="A142:C142"/>
    <mergeCell ref="A147:B147"/>
    <mergeCell ref="A150:B150"/>
    <mergeCell ref="A154:C154"/>
    <mergeCell ref="A168:C168"/>
  </mergeCells>
  <pageMargins left="0.70866141732283472" right="0.70866141732283472" top="0.55118110236220474" bottom="0.55118110236220474" header="0.31496062992125984" footer="0.31496062992125984"/>
  <pageSetup paperSize="9"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7"/>
  <sheetViews>
    <sheetView workbookViewId="0">
      <selection activeCell="J37" sqref="J37"/>
    </sheetView>
  </sheetViews>
  <sheetFormatPr defaultRowHeight="15" x14ac:dyDescent="0.25"/>
  <cols>
    <col min="1" max="1" width="7.42578125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22.7109375" bestFit="1" customWidth="1"/>
    <col min="7" max="7" width="7.42578125" bestFit="1" customWidth="1"/>
    <col min="9" max="9" width="8.28515625" bestFit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6" spans="1:9" ht="15.75" thickBot="1" x14ac:dyDescent="0.3">
      <c r="A6" s="241" t="s">
        <v>1</v>
      </c>
      <c r="B6" s="241"/>
      <c r="C6" s="241"/>
      <c r="D6" s="65"/>
      <c r="E6" s="65"/>
      <c r="F6" s="65"/>
      <c r="G6" s="64"/>
      <c r="H6" s="64"/>
    </row>
    <row r="7" spans="1:9" x14ac:dyDescent="0.25">
      <c r="A7" s="244" t="s">
        <v>2</v>
      </c>
      <c r="B7" s="215" t="s">
        <v>3</v>
      </c>
      <c r="C7" s="215" t="s">
        <v>4</v>
      </c>
      <c r="D7" s="228"/>
      <c r="E7" s="215" t="s">
        <v>5</v>
      </c>
      <c r="F7" s="64" t="s">
        <v>6</v>
      </c>
      <c r="G7" s="64" t="s">
        <v>104</v>
      </c>
      <c r="H7" s="217" t="s">
        <v>7</v>
      </c>
      <c r="I7" s="222"/>
    </row>
    <row r="8" spans="1:9" ht="15.75" thickBot="1" x14ac:dyDescent="0.3">
      <c r="A8" s="244"/>
      <c r="B8" s="215"/>
      <c r="C8" s="215"/>
      <c r="D8" s="228"/>
      <c r="E8" s="215"/>
      <c r="F8" s="64"/>
      <c r="G8" s="64"/>
      <c r="H8" s="217"/>
      <c r="I8" s="219"/>
    </row>
    <row r="9" spans="1:9" ht="15.75" thickBot="1" x14ac:dyDescent="0.3">
      <c r="A9" s="67">
        <v>8</v>
      </c>
      <c r="B9" s="68" t="s">
        <v>8</v>
      </c>
      <c r="C9" s="68" t="s">
        <v>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6.99</v>
      </c>
      <c r="I9" s="6">
        <v>6.99</v>
      </c>
    </row>
    <row r="10" spans="1:9" ht="15.75" thickBot="1" x14ac:dyDescent="0.3">
      <c r="A10" s="67">
        <v>310</v>
      </c>
      <c r="B10" s="68" t="s">
        <v>8</v>
      </c>
      <c r="C10" s="68" t="s">
        <v>14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9.74</v>
      </c>
      <c r="I10" s="6">
        <v>9.74</v>
      </c>
    </row>
    <row r="11" spans="1:9" ht="15.75" thickBot="1" x14ac:dyDescent="0.3">
      <c r="A11" s="67">
        <v>326</v>
      </c>
      <c r="B11" s="68" t="s">
        <v>8</v>
      </c>
      <c r="C11" s="68" t="s">
        <v>17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11.85</v>
      </c>
      <c r="I11" s="6">
        <v>11.85</v>
      </c>
    </row>
    <row r="12" spans="1:9" ht="15.75" thickBot="1" x14ac:dyDescent="0.3">
      <c r="A12" s="67">
        <v>13</v>
      </c>
      <c r="B12" s="68" t="s">
        <v>8</v>
      </c>
      <c r="C12" s="68" t="s">
        <v>17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10.88</v>
      </c>
      <c r="I12" s="6">
        <v>10.88</v>
      </c>
    </row>
    <row r="13" spans="1:9" ht="15.75" thickBot="1" x14ac:dyDescent="0.3">
      <c r="A13" s="67">
        <v>313</v>
      </c>
      <c r="B13" s="68" t="s">
        <v>8</v>
      </c>
      <c r="C13" s="68" t="s">
        <v>21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11.98</v>
      </c>
      <c r="I13" s="6">
        <v>11.98</v>
      </c>
    </row>
    <row r="14" spans="1:9" ht="15.75" thickBot="1" x14ac:dyDescent="0.3">
      <c r="A14" s="67">
        <v>329</v>
      </c>
      <c r="B14" s="68" t="s">
        <v>8</v>
      </c>
      <c r="C14" s="68" t="s">
        <v>23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14.22</v>
      </c>
      <c r="I14" s="6">
        <v>14.22</v>
      </c>
    </row>
    <row r="15" spans="1:9" x14ac:dyDescent="0.25">
      <c r="A15" s="76"/>
      <c r="B15" s="76"/>
      <c r="C15" s="76"/>
      <c r="D15" s="76"/>
      <c r="E15" s="76"/>
      <c r="F15" s="76"/>
      <c r="G15" s="76"/>
      <c r="H15" s="76"/>
    </row>
    <row r="16" spans="1:9" ht="15.75" thickBot="1" x14ac:dyDescent="0.3">
      <c r="A16" s="243" t="s">
        <v>28</v>
      </c>
      <c r="B16" s="243"/>
      <c r="C16" s="243"/>
      <c r="D16" s="254"/>
      <c r="E16" s="254"/>
      <c r="F16" s="254"/>
      <c r="G16" s="254"/>
      <c r="H16" s="254"/>
    </row>
    <row r="17" spans="1:9" ht="15.75" thickBot="1" x14ac:dyDescent="0.3">
      <c r="A17" s="67">
        <v>85</v>
      </c>
      <c r="B17" s="68" t="s">
        <v>29</v>
      </c>
      <c r="C17" s="68" t="s">
        <v>30</v>
      </c>
      <c r="D17" s="68" t="s">
        <v>10</v>
      </c>
      <c r="E17" s="68">
        <v>36</v>
      </c>
      <c r="F17" s="69" t="s">
        <v>12</v>
      </c>
      <c r="G17" s="67" t="s">
        <v>31</v>
      </c>
      <c r="H17" s="70">
        <f>(I17*$I$7)+I17</f>
        <v>15.44</v>
      </c>
      <c r="I17" s="59">
        <v>15.44</v>
      </c>
    </row>
    <row r="18" spans="1:9" ht="15.75" thickBot="1" x14ac:dyDescent="0.3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18.86</v>
      </c>
      <c r="I18" s="6">
        <v>18.86</v>
      </c>
    </row>
    <row r="19" spans="1:9" ht="15.75" thickBot="1" x14ac:dyDescent="0.3">
      <c r="A19" s="67">
        <v>279</v>
      </c>
      <c r="B19" s="68" t="s">
        <v>29</v>
      </c>
      <c r="C19" s="68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19.88</v>
      </c>
      <c r="I19" s="6">
        <v>19.88</v>
      </c>
    </row>
    <row r="20" spans="1:9" ht="15.75" thickBot="1" x14ac:dyDescent="0.3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22.8</v>
      </c>
      <c r="I20" s="6">
        <v>22.8</v>
      </c>
    </row>
    <row r="21" spans="1:9" ht="15.75" thickBot="1" x14ac:dyDescent="0.3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24.86</v>
      </c>
      <c r="I21" s="6">
        <v>24.86</v>
      </c>
    </row>
    <row r="22" spans="1:9" ht="15.75" thickBot="1" x14ac:dyDescent="0.3">
      <c r="A22" s="67">
        <v>286</v>
      </c>
      <c r="B22" s="68" t="s">
        <v>29</v>
      </c>
      <c r="C22" s="68" t="s">
        <v>30</v>
      </c>
      <c r="D22" s="68" t="s">
        <v>18</v>
      </c>
      <c r="E22" s="68">
        <v>25</v>
      </c>
      <c r="F22" s="69" t="s">
        <v>12</v>
      </c>
      <c r="G22" s="67" t="s">
        <v>36</v>
      </c>
      <c r="H22" s="70">
        <f t="shared" si="1"/>
        <v>26.86</v>
      </c>
      <c r="I22" s="6">
        <v>26.86</v>
      </c>
    </row>
    <row r="23" spans="1:9" x14ac:dyDescent="0.25">
      <c r="A23" s="76"/>
      <c r="B23" s="76"/>
      <c r="C23" s="76"/>
      <c r="D23" s="76"/>
      <c r="E23" s="76"/>
      <c r="F23" s="76"/>
      <c r="G23" s="76"/>
      <c r="H23" s="76"/>
    </row>
    <row r="24" spans="1:9" ht="15.75" thickBot="1" x14ac:dyDescent="0.3">
      <c r="A24" s="238" t="s">
        <v>40</v>
      </c>
      <c r="B24" s="238"/>
      <c r="C24" s="238"/>
      <c r="D24" s="68"/>
      <c r="E24" s="68"/>
      <c r="F24" s="68"/>
      <c r="G24" s="77"/>
      <c r="H24" s="67"/>
    </row>
    <row r="25" spans="1:9" ht="15.75" thickBot="1" x14ac:dyDescent="0.3">
      <c r="A25" s="67">
        <v>1</v>
      </c>
      <c r="B25" s="68" t="s">
        <v>41</v>
      </c>
      <c r="C25" s="68" t="s">
        <v>42</v>
      </c>
      <c r="D25" s="68" t="s">
        <v>10</v>
      </c>
      <c r="E25" s="68">
        <v>1000</v>
      </c>
      <c r="F25" s="69" t="s">
        <v>12</v>
      </c>
      <c r="G25" s="67"/>
      <c r="H25" s="70">
        <f>(I25*$I$7)+I25</f>
        <v>0.38</v>
      </c>
      <c r="I25" s="37">
        <v>0.38</v>
      </c>
    </row>
    <row r="26" spans="1:9" ht="15.75" thickBot="1" x14ac:dyDescent="0.3">
      <c r="A26" s="67">
        <v>2</v>
      </c>
      <c r="B26" s="68" t="s">
        <v>43</v>
      </c>
      <c r="C26" s="68" t="s">
        <v>42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</v>
      </c>
      <c r="I26" s="36">
        <v>0.4</v>
      </c>
    </row>
    <row r="27" spans="1:9" ht="15.75" thickBot="1" x14ac:dyDescent="0.3">
      <c r="A27" s="67">
        <v>3</v>
      </c>
      <c r="B27" s="68" t="s">
        <v>44</v>
      </c>
      <c r="C27" s="68" t="s">
        <v>42</v>
      </c>
      <c r="D27" s="68" t="s">
        <v>18</v>
      </c>
      <c r="E27" s="68">
        <v>1000</v>
      </c>
      <c r="F27" s="69" t="s">
        <v>12</v>
      </c>
      <c r="G27" s="67"/>
      <c r="H27" s="70">
        <f t="shared" si="2"/>
        <v>0.42</v>
      </c>
      <c r="I27" s="36">
        <v>0.42</v>
      </c>
    </row>
    <row r="28" spans="1:9" x14ac:dyDescent="0.25">
      <c r="A28" s="76"/>
      <c r="B28" s="76"/>
      <c r="C28" s="76"/>
      <c r="D28" s="76"/>
      <c r="E28" s="76"/>
      <c r="F28" s="76"/>
      <c r="G28" s="76"/>
      <c r="H28" s="76"/>
    </row>
    <row r="29" spans="1:9" ht="15.75" thickBot="1" x14ac:dyDescent="0.3">
      <c r="A29" s="250" t="s">
        <v>45</v>
      </c>
      <c r="B29" s="250"/>
      <c r="C29" s="250"/>
      <c r="D29" s="78"/>
      <c r="E29" s="255"/>
      <c r="F29" s="255"/>
      <c r="G29" s="255"/>
      <c r="H29" s="255"/>
    </row>
    <row r="30" spans="1:9" ht="15.75" thickBot="1" x14ac:dyDescent="0.3">
      <c r="A30" s="67">
        <v>1586</v>
      </c>
      <c r="B30" s="68" t="s">
        <v>115</v>
      </c>
      <c r="C30" s="68" t="s">
        <v>47</v>
      </c>
      <c r="D30" s="68"/>
      <c r="E30" s="68">
        <v>12</v>
      </c>
      <c r="F30" s="69" t="s">
        <v>12</v>
      </c>
      <c r="G30" s="67"/>
      <c r="H30" s="70">
        <f>(I30*$I$7)+I30</f>
        <v>49.5</v>
      </c>
      <c r="I30" s="41">
        <v>49.5</v>
      </c>
    </row>
    <row r="31" spans="1:9" ht="15.75" thickBot="1" x14ac:dyDescent="0.3">
      <c r="A31" s="67">
        <v>1797</v>
      </c>
      <c r="B31" s="68" t="s">
        <v>114</v>
      </c>
      <c r="C31" s="68" t="s">
        <v>47</v>
      </c>
      <c r="D31" s="68"/>
      <c r="E31" s="68">
        <v>12</v>
      </c>
      <c r="F31" s="69" t="s">
        <v>12</v>
      </c>
      <c r="G31" s="67"/>
      <c r="H31" s="70">
        <f t="shared" ref="H31:H33" si="3">(I31*$I$7)+I31</f>
        <v>48.5</v>
      </c>
      <c r="I31" s="39">
        <v>48.5</v>
      </c>
    </row>
    <row r="32" spans="1:9" ht="15.75" thickBot="1" x14ac:dyDescent="0.3">
      <c r="A32" s="67">
        <v>1588</v>
      </c>
      <c r="B32" s="68" t="s">
        <v>50</v>
      </c>
      <c r="C32" s="68" t="s">
        <v>100</v>
      </c>
      <c r="D32" s="68"/>
      <c r="E32" s="68">
        <v>150</v>
      </c>
      <c r="F32" s="69" t="s">
        <v>12</v>
      </c>
      <c r="G32" s="67"/>
      <c r="H32" s="70">
        <f t="shared" si="3"/>
        <v>5.18</v>
      </c>
      <c r="I32" s="6">
        <v>5.18</v>
      </c>
    </row>
    <row r="33" spans="1:9" ht="15.75" thickBot="1" x14ac:dyDescent="0.3">
      <c r="A33" s="67">
        <v>1587</v>
      </c>
      <c r="B33" s="68" t="s">
        <v>50</v>
      </c>
      <c r="C33" s="68" t="s">
        <v>101</v>
      </c>
      <c r="D33" s="68"/>
      <c r="E33" s="68">
        <v>300</v>
      </c>
      <c r="F33" s="69" t="s">
        <v>12</v>
      </c>
      <c r="G33" s="67"/>
      <c r="H33" s="70">
        <f t="shared" si="3"/>
        <v>2.8</v>
      </c>
      <c r="I33" s="6">
        <v>2.8</v>
      </c>
    </row>
    <row r="34" spans="1:9" x14ac:dyDescent="0.25">
      <c r="A34" s="76"/>
      <c r="B34" s="76"/>
      <c r="C34" s="76"/>
      <c r="D34" s="76"/>
      <c r="E34" s="76"/>
      <c r="F34" s="76"/>
      <c r="G34" s="76"/>
      <c r="H34" s="76"/>
    </row>
    <row r="35" spans="1:9" ht="15.75" thickBot="1" x14ac:dyDescent="0.3">
      <c r="A35" s="79" t="s">
        <v>52</v>
      </c>
      <c r="B35" s="79"/>
      <c r="C35" s="79"/>
      <c r="D35" s="79"/>
      <c r="E35" s="74"/>
      <c r="F35" s="74"/>
      <c r="G35" s="74"/>
      <c r="H35" s="74"/>
    </row>
    <row r="36" spans="1:9" ht="15.75" thickBot="1" x14ac:dyDescent="0.3">
      <c r="A36" s="72">
        <v>163</v>
      </c>
      <c r="B36" s="72" t="s">
        <v>55</v>
      </c>
      <c r="C36" s="72" t="s">
        <v>56</v>
      </c>
      <c r="D36" s="72" t="s">
        <v>57</v>
      </c>
      <c r="E36" s="72" t="s">
        <v>75</v>
      </c>
      <c r="F36" s="73" t="s">
        <v>12</v>
      </c>
      <c r="G36" s="73"/>
      <c r="H36" s="70">
        <f>(I36*$I$7)+I36</f>
        <v>4.46</v>
      </c>
      <c r="I36" s="71">
        <v>4.46</v>
      </c>
    </row>
    <row r="37" spans="1:9" ht="15.75" thickBot="1" x14ac:dyDescent="0.3">
      <c r="A37" s="72">
        <v>480</v>
      </c>
      <c r="B37" s="72" t="s">
        <v>55</v>
      </c>
      <c r="C37" s="72" t="s">
        <v>59</v>
      </c>
      <c r="D37" s="72" t="s">
        <v>57</v>
      </c>
      <c r="E37" s="72" t="s">
        <v>75</v>
      </c>
      <c r="F37" s="73" t="s">
        <v>12</v>
      </c>
      <c r="G37" s="73"/>
      <c r="H37" s="70">
        <f t="shared" ref="H37:H45" si="4">(I37*$I$7)+I37</f>
        <v>5.51</v>
      </c>
      <c r="I37" s="22">
        <v>5.51</v>
      </c>
    </row>
    <row r="38" spans="1:9" ht="15.75" thickBot="1" x14ac:dyDescent="0.3">
      <c r="A38" s="72">
        <v>164</v>
      </c>
      <c r="B38" s="72" t="s">
        <v>55</v>
      </c>
      <c r="C38" s="72" t="s">
        <v>60</v>
      </c>
      <c r="D38" s="72" t="s">
        <v>57</v>
      </c>
      <c r="E38" s="72" t="s">
        <v>61</v>
      </c>
      <c r="F38" s="73" t="s">
        <v>12</v>
      </c>
      <c r="G38" s="73"/>
      <c r="H38" s="70">
        <f t="shared" si="4"/>
        <v>6.32</v>
      </c>
      <c r="I38" s="22">
        <v>6.32</v>
      </c>
    </row>
    <row r="39" spans="1:9" ht="15.75" thickBot="1" x14ac:dyDescent="0.3">
      <c r="A39" s="72">
        <v>165</v>
      </c>
      <c r="B39" s="72" t="s">
        <v>55</v>
      </c>
      <c r="C39" s="72" t="s">
        <v>62</v>
      </c>
      <c r="D39" s="72" t="s">
        <v>57</v>
      </c>
      <c r="E39" s="72" t="s">
        <v>72</v>
      </c>
      <c r="F39" s="73" t="s">
        <v>12</v>
      </c>
      <c r="G39" s="73"/>
      <c r="H39" s="70">
        <f t="shared" si="4"/>
        <v>8.14</v>
      </c>
      <c r="I39" s="22">
        <v>8.14</v>
      </c>
    </row>
    <row r="40" spans="1:9" ht="15.75" thickBot="1" x14ac:dyDescent="0.3">
      <c r="A40" s="72">
        <v>166</v>
      </c>
      <c r="B40" s="72" t="s">
        <v>55</v>
      </c>
      <c r="C40" s="72" t="s">
        <v>64</v>
      </c>
      <c r="D40" s="72" t="s">
        <v>57</v>
      </c>
      <c r="E40" s="72" t="s">
        <v>65</v>
      </c>
      <c r="F40" s="73" t="s">
        <v>12</v>
      </c>
      <c r="G40" s="73"/>
      <c r="H40" s="70">
        <f t="shared" si="4"/>
        <v>12.06</v>
      </c>
      <c r="I40" s="22">
        <v>12.06</v>
      </c>
    </row>
    <row r="41" spans="1:9" ht="15.75" thickBot="1" x14ac:dyDescent="0.3">
      <c r="A41" s="72">
        <v>171</v>
      </c>
      <c r="B41" s="72" t="s">
        <v>55</v>
      </c>
      <c r="C41" s="72" t="s">
        <v>66</v>
      </c>
      <c r="D41" s="72" t="s">
        <v>57</v>
      </c>
      <c r="E41" s="72" t="s">
        <v>67</v>
      </c>
      <c r="F41" s="73" t="s">
        <v>12</v>
      </c>
      <c r="G41" s="73"/>
      <c r="H41" s="70">
        <f t="shared" si="4"/>
        <v>6.05</v>
      </c>
      <c r="I41" s="22">
        <v>6.05</v>
      </c>
    </row>
    <row r="42" spans="1:9" ht="15.75" thickBot="1" x14ac:dyDescent="0.3">
      <c r="A42" s="72">
        <v>478</v>
      </c>
      <c r="B42" s="72" t="s">
        <v>55</v>
      </c>
      <c r="C42" s="72" t="s">
        <v>68</v>
      </c>
      <c r="D42" s="72" t="s">
        <v>57</v>
      </c>
      <c r="E42" s="72" t="s">
        <v>61</v>
      </c>
      <c r="F42" s="73" t="s">
        <v>12</v>
      </c>
      <c r="G42" s="73"/>
      <c r="H42" s="70">
        <f t="shared" si="4"/>
        <v>7.62</v>
      </c>
      <c r="I42" s="22">
        <v>7.62</v>
      </c>
    </row>
    <row r="43" spans="1:9" ht="15.75" thickBot="1" x14ac:dyDescent="0.3">
      <c r="A43" s="72">
        <v>172</v>
      </c>
      <c r="B43" s="72" t="s">
        <v>55</v>
      </c>
      <c r="C43" s="72" t="s">
        <v>69</v>
      </c>
      <c r="D43" s="72" t="s">
        <v>57</v>
      </c>
      <c r="E43" s="72" t="s">
        <v>70</v>
      </c>
      <c r="F43" s="73" t="s">
        <v>12</v>
      </c>
      <c r="G43" s="73"/>
      <c r="H43" s="70">
        <f t="shared" si="4"/>
        <v>8.91</v>
      </c>
      <c r="I43" s="22">
        <v>8.91</v>
      </c>
    </row>
    <row r="44" spans="1:9" ht="15.75" thickBot="1" x14ac:dyDescent="0.3">
      <c r="A44" s="72">
        <v>173</v>
      </c>
      <c r="B44" s="72" t="s">
        <v>55</v>
      </c>
      <c r="C44" s="72" t="s">
        <v>71</v>
      </c>
      <c r="D44" s="72" t="s">
        <v>57</v>
      </c>
      <c r="E44" s="72" t="s">
        <v>78</v>
      </c>
      <c r="F44" s="73" t="s">
        <v>12</v>
      </c>
      <c r="G44" s="73"/>
      <c r="H44" s="70">
        <f t="shared" si="4"/>
        <v>11.57</v>
      </c>
      <c r="I44" s="27">
        <v>11.57</v>
      </c>
    </row>
    <row r="45" spans="1:9" ht="15.75" thickBot="1" x14ac:dyDescent="0.3">
      <c r="A45" s="72">
        <v>174</v>
      </c>
      <c r="B45" s="72" t="s">
        <v>55</v>
      </c>
      <c r="C45" s="72" t="s">
        <v>73</v>
      </c>
      <c r="D45" s="72" t="s">
        <v>57</v>
      </c>
      <c r="E45" s="72" t="s">
        <v>74</v>
      </c>
      <c r="F45" s="73" t="s">
        <v>12</v>
      </c>
      <c r="G45" s="73"/>
      <c r="H45" s="70">
        <f t="shared" si="4"/>
        <v>16.57</v>
      </c>
      <c r="I45" s="31">
        <v>16.57</v>
      </c>
    </row>
    <row r="46" spans="1:9" x14ac:dyDescent="0.25">
      <c r="A46" s="76"/>
      <c r="B46" s="76"/>
      <c r="C46" s="76"/>
      <c r="D46" s="76"/>
      <c r="E46" s="76"/>
      <c r="F46" s="76"/>
      <c r="G46" s="76"/>
      <c r="H46" s="76"/>
    </row>
    <row r="47" spans="1:9" ht="15.75" thickBot="1" x14ac:dyDescent="0.3">
      <c r="A47" s="253" t="s">
        <v>80</v>
      </c>
      <c r="B47" s="253"/>
      <c r="C47" s="253"/>
      <c r="D47" s="253"/>
      <c r="E47" s="74"/>
      <c r="F47" s="74"/>
      <c r="G47" s="74"/>
      <c r="H47" s="74"/>
      <c r="I47" s="58"/>
    </row>
    <row r="48" spans="1:9" ht="15.75" thickBot="1" x14ac:dyDescent="0.3">
      <c r="A48" s="72">
        <v>414</v>
      </c>
      <c r="B48" s="72" t="s">
        <v>55</v>
      </c>
      <c r="C48" s="72" t="s">
        <v>56</v>
      </c>
      <c r="D48" s="72" t="s">
        <v>57</v>
      </c>
      <c r="E48" s="72" t="s">
        <v>75</v>
      </c>
      <c r="F48" s="73" t="s">
        <v>12</v>
      </c>
      <c r="G48" s="75"/>
      <c r="H48" s="70">
        <f t="shared" ref="H48:H57" si="5">(I48*$I$7)+I48</f>
        <v>4.32</v>
      </c>
      <c r="I48" s="22">
        <v>4.32</v>
      </c>
    </row>
    <row r="49" spans="1:9" ht="15.75" thickBot="1" x14ac:dyDescent="0.3">
      <c r="A49" s="72">
        <v>476</v>
      </c>
      <c r="B49" s="72" t="s">
        <v>55</v>
      </c>
      <c r="C49" s="72" t="s">
        <v>59</v>
      </c>
      <c r="D49" s="72" t="s">
        <v>57</v>
      </c>
      <c r="E49" s="72" t="s">
        <v>103</v>
      </c>
      <c r="F49" s="73" t="s">
        <v>12</v>
      </c>
      <c r="G49" s="75"/>
      <c r="H49" s="70">
        <f t="shared" si="5"/>
        <v>5.34</v>
      </c>
      <c r="I49" s="22">
        <v>5.34</v>
      </c>
    </row>
    <row r="50" spans="1:9" ht="15.75" thickBot="1" x14ac:dyDescent="0.3">
      <c r="A50" s="72">
        <v>419</v>
      </c>
      <c r="B50" s="72" t="s">
        <v>55</v>
      </c>
      <c r="C50" s="72" t="s">
        <v>60</v>
      </c>
      <c r="D50" s="72" t="s">
        <v>57</v>
      </c>
      <c r="E50" s="72" t="s">
        <v>72</v>
      </c>
      <c r="F50" s="73" t="s">
        <v>12</v>
      </c>
      <c r="G50" s="75"/>
      <c r="H50" s="70">
        <f t="shared" si="5"/>
        <v>6.15</v>
      </c>
      <c r="I50" s="22">
        <v>6.15</v>
      </c>
    </row>
    <row r="51" spans="1:9" ht="15.75" thickBot="1" x14ac:dyDescent="0.3">
      <c r="A51" s="72">
        <v>423</v>
      </c>
      <c r="B51" s="72" t="s">
        <v>55</v>
      </c>
      <c r="C51" s="72" t="s">
        <v>62</v>
      </c>
      <c r="D51" s="72" t="s">
        <v>57</v>
      </c>
      <c r="E51" s="72" t="s">
        <v>82</v>
      </c>
      <c r="F51" s="73" t="s">
        <v>12</v>
      </c>
      <c r="G51" s="75"/>
      <c r="H51" s="70">
        <f t="shared" si="5"/>
        <v>7.9</v>
      </c>
      <c r="I51" s="22">
        <v>7.9</v>
      </c>
    </row>
    <row r="52" spans="1:9" ht="15.75" thickBot="1" x14ac:dyDescent="0.3">
      <c r="A52" s="72">
        <v>427</v>
      </c>
      <c r="B52" s="72" t="s">
        <v>55</v>
      </c>
      <c r="C52" s="72" t="s">
        <v>64</v>
      </c>
      <c r="D52" s="72" t="s">
        <v>57</v>
      </c>
      <c r="E52" s="72" t="s">
        <v>83</v>
      </c>
      <c r="F52" s="73" t="s">
        <v>12</v>
      </c>
      <c r="G52" s="75"/>
      <c r="H52" s="70">
        <f t="shared" si="5"/>
        <v>11.7</v>
      </c>
      <c r="I52" s="22">
        <v>11.7</v>
      </c>
    </row>
    <row r="53" spans="1:9" ht="15.75" thickBot="1" x14ac:dyDescent="0.3">
      <c r="A53" s="72">
        <v>417</v>
      </c>
      <c r="B53" s="72" t="s">
        <v>55</v>
      </c>
      <c r="C53" s="72" t="s">
        <v>66</v>
      </c>
      <c r="D53" s="72" t="s">
        <v>57</v>
      </c>
      <c r="E53" s="72" t="s">
        <v>84</v>
      </c>
      <c r="F53" s="73" t="s">
        <v>12</v>
      </c>
      <c r="G53" s="75"/>
      <c r="H53" s="70">
        <f t="shared" si="5"/>
        <v>5.85</v>
      </c>
      <c r="I53" s="22">
        <v>5.85</v>
      </c>
    </row>
    <row r="54" spans="1:9" ht="15.75" thickBot="1" x14ac:dyDescent="0.3">
      <c r="A54" s="72">
        <v>474</v>
      </c>
      <c r="B54" s="72" t="s">
        <v>55</v>
      </c>
      <c r="C54" s="72" t="s">
        <v>68</v>
      </c>
      <c r="D54" s="72" t="s">
        <v>57</v>
      </c>
      <c r="E54" s="72" t="s">
        <v>72</v>
      </c>
      <c r="F54" s="73" t="s">
        <v>12</v>
      </c>
      <c r="G54" s="75"/>
      <c r="H54" s="70">
        <f t="shared" si="5"/>
        <v>7.39</v>
      </c>
      <c r="I54" s="22">
        <v>7.39</v>
      </c>
    </row>
    <row r="55" spans="1:9" ht="15.75" thickBot="1" x14ac:dyDescent="0.3">
      <c r="A55" s="72">
        <v>421</v>
      </c>
      <c r="B55" s="72" t="s">
        <v>55</v>
      </c>
      <c r="C55" s="72" t="s">
        <v>69</v>
      </c>
      <c r="D55" s="72" t="s">
        <v>57</v>
      </c>
      <c r="E55" s="72" t="s">
        <v>78</v>
      </c>
      <c r="F55" s="73" t="s">
        <v>12</v>
      </c>
      <c r="G55" s="75"/>
      <c r="H55" s="70">
        <f t="shared" si="5"/>
        <v>8.65</v>
      </c>
      <c r="I55" s="22">
        <v>8.65</v>
      </c>
    </row>
    <row r="56" spans="1:9" ht="15.75" thickBot="1" x14ac:dyDescent="0.3">
      <c r="A56" s="72">
        <v>425</v>
      </c>
      <c r="B56" s="72" t="s">
        <v>55</v>
      </c>
      <c r="C56" s="72" t="s">
        <v>71</v>
      </c>
      <c r="D56" s="72" t="s">
        <v>57</v>
      </c>
      <c r="E56" s="72" t="s">
        <v>85</v>
      </c>
      <c r="F56" s="73" t="s">
        <v>12</v>
      </c>
      <c r="G56" s="75"/>
      <c r="H56" s="70">
        <f t="shared" si="5"/>
        <v>11.22</v>
      </c>
      <c r="I56" s="27">
        <v>11.22</v>
      </c>
    </row>
    <row r="57" spans="1:9" ht="15.75" thickBot="1" x14ac:dyDescent="0.3">
      <c r="A57" s="72">
        <v>429</v>
      </c>
      <c r="B57" s="72" t="s">
        <v>55</v>
      </c>
      <c r="C57" s="72" t="s">
        <v>73</v>
      </c>
      <c r="D57" s="72" t="s">
        <v>57</v>
      </c>
      <c r="E57" s="72" t="s">
        <v>86</v>
      </c>
      <c r="F57" s="73" t="s">
        <v>12</v>
      </c>
      <c r="G57" s="75"/>
      <c r="H57" s="70">
        <f t="shared" si="5"/>
        <v>16.059999999999999</v>
      </c>
      <c r="I57" s="31">
        <v>16.059999999999999</v>
      </c>
    </row>
    <row r="58" spans="1:9" x14ac:dyDescent="0.25">
      <c r="A58" s="85"/>
      <c r="B58" s="85"/>
      <c r="C58" s="85"/>
      <c r="D58" s="85"/>
      <c r="E58" s="85"/>
      <c r="F58" s="86"/>
      <c r="G58" s="87"/>
      <c r="H58" s="88"/>
      <c r="I58" s="89"/>
    </row>
    <row r="59" spans="1:9" x14ac:dyDescent="0.25">
      <c r="A59" s="85"/>
      <c r="B59" s="85"/>
      <c r="C59" s="85"/>
      <c r="D59" s="85"/>
      <c r="E59" s="85"/>
      <c r="F59" s="86"/>
      <c r="G59" s="87"/>
      <c r="H59" s="88"/>
      <c r="I59" s="89"/>
    </row>
    <row r="60" spans="1:9" x14ac:dyDescent="0.25">
      <c r="A60" s="85"/>
      <c r="B60" s="85"/>
      <c r="C60" s="85"/>
      <c r="D60" s="85"/>
      <c r="E60" s="85"/>
      <c r="F60" s="86"/>
      <c r="G60" s="87"/>
      <c r="H60" s="88"/>
      <c r="I60" s="89"/>
    </row>
    <row r="61" spans="1:9" x14ac:dyDescent="0.25">
      <c r="A61" s="85"/>
      <c r="B61" s="85"/>
      <c r="C61" s="85"/>
      <c r="D61" s="85"/>
      <c r="E61" s="85"/>
      <c r="F61" s="86"/>
      <c r="G61" s="87"/>
      <c r="H61" s="88"/>
      <c r="I61" s="89"/>
    </row>
    <row r="62" spans="1:9" x14ac:dyDescent="0.25">
      <c r="A62" s="85"/>
      <c r="B62" s="85"/>
      <c r="C62" s="85"/>
      <c r="D62" s="85"/>
      <c r="E62" s="85"/>
      <c r="F62" s="86"/>
      <c r="G62" s="87"/>
      <c r="H62" s="88"/>
      <c r="I62" s="89"/>
    </row>
    <row r="63" spans="1:9" x14ac:dyDescent="0.25">
      <c r="A63" s="85"/>
      <c r="B63" s="85"/>
      <c r="C63" s="85"/>
      <c r="D63" s="85"/>
      <c r="E63" s="85"/>
      <c r="F63" s="86"/>
      <c r="G63" s="87"/>
      <c r="H63" s="88"/>
      <c r="I63" s="89"/>
    </row>
    <row r="65" spans="1:9" x14ac:dyDescent="0.25">
      <c r="A65" s="205"/>
      <c r="B65" s="205"/>
      <c r="F65" s="34"/>
      <c r="G65" s="34"/>
      <c r="H65" s="34"/>
    </row>
    <row r="66" spans="1:9" x14ac:dyDescent="0.25">
      <c r="A66" s="207" t="s">
        <v>116</v>
      </c>
      <c r="B66" s="207"/>
      <c r="C66" s="207"/>
      <c r="D66" s="207"/>
      <c r="E66" s="207"/>
      <c r="F66" s="207"/>
      <c r="G66" s="207"/>
      <c r="H66" s="207"/>
      <c r="I66" s="207"/>
    </row>
    <row r="67" spans="1:9" x14ac:dyDescent="0.25">
      <c r="A67" s="207"/>
      <c r="B67" s="207"/>
      <c r="C67" s="207"/>
      <c r="D67" s="207"/>
      <c r="E67" s="207"/>
      <c r="F67" s="207"/>
      <c r="G67" s="207"/>
      <c r="H67" s="207"/>
      <c r="I67" s="207"/>
    </row>
    <row r="68" spans="1:9" x14ac:dyDescent="0.25">
      <c r="A68" s="207"/>
      <c r="B68" s="207"/>
      <c r="C68" s="207"/>
      <c r="D68" s="207"/>
      <c r="E68" s="207"/>
      <c r="F68" s="207"/>
      <c r="G68" s="207"/>
      <c r="H68" s="207"/>
      <c r="I68" s="207"/>
    </row>
    <row r="69" spans="1:9" x14ac:dyDescent="0.25">
      <c r="A69" s="207"/>
      <c r="B69" s="207"/>
      <c r="C69" s="207"/>
      <c r="D69" s="207"/>
      <c r="E69" s="207"/>
      <c r="F69" s="207"/>
      <c r="G69" s="207"/>
      <c r="H69" s="207"/>
      <c r="I69" s="207"/>
    </row>
    <row r="71" spans="1:9" ht="15.75" thickBot="1" x14ac:dyDescent="0.3">
      <c r="A71" s="225" t="s">
        <v>1</v>
      </c>
      <c r="B71" s="225"/>
      <c r="C71" s="225"/>
      <c r="D71" s="65"/>
      <c r="E71" s="65"/>
      <c r="F71" s="65"/>
      <c r="G71" s="65"/>
      <c r="H71" s="66"/>
      <c r="I71" s="1"/>
    </row>
    <row r="72" spans="1:9" x14ac:dyDescent="0.25">
      <c r="A72" s="215" t="s">
        <v>2</v>
      </c>
      <c r="B72" s="215" t="s">
        <v>3</v>
      </c>
      <c r="C72" s="215" t="s">
        <v>4</v>
      </c>
      <c r="D72" s="228"/>
      <c r="E72" s="215" t="s">
        <v>5</v>
      </c>
      <c r="F72" s="215" t="s">
        <v>6</v>
      </c>
      <c r="G72" s="215" t="s">
        <v>104</v>
      </c>
      <c r="H72" s="217" t="s">
        <v>7</v>
      </c>
      <c r="I72" s="222"/>
    </row>
    <row r="73" spans="1:9" ht="15.75" thickBot="1" x14ac:dyDescent="0.3">
      <c r="A73" s="215"/>
      <c r="B73" s="215"/>
      <c r="C73" s="215"/>
      <c r="D73" s="228"/>
      <c r="E73" s="215"/>
      <c r="F73" s="215"/>
      <c r="G73" s="215"/>
      <c r="H73" s="217"/>
      <c r="I73" s="219"/>
    </row>
    <row r="74" spans="1:9" ht="15.75" thickBot="1" x14ac:dyDescent="0.3">
      <c r="A74" s="68">
        <v>51</v>
      </c>
      <c r="B74" s="68" t="s">
        <v>8</v>
      </c>
      <c r="C74" s="68" t="s">
        <v>107</v>
      </c>
      <c r="D74" s="68" t="s">
        <v>10</v>
      </c>
      <c r="E74" s="68">
        <v>40</v>
      </c>
      <c r="F74" s="80" t="s">
        <v>26</v>
      </c>
      <c r="G74" s="68" t="s">
        <v>27</v>
      </c>
      <c r="H74" s="70">
        <f t="shared" ref="H74:H76" si="6">(I74*$I$7)+I74</f>
        <v>14.46</v>
      </c>
      <c r="I74" s="6">
        <v>14.46</v>
      </c>
    </row>
    <row r="75" spans="1:9" ht="15.75" thickBot="1" x14ac:dyDescent="0.3">
      <c r="A75" s="68">
        <v>339</v>
      </c>
      <c r="B75" s="68" t="s">
        <v>8</v>
      </c>
      <c r="C75" s="68" t="s">
        <v>107</v>
      </c>
      <c r="D75" s="68" t="s">
        <v>15</v>
      </c>
      <c r="E75" s="68">
        <v>32</v>
      </c>
      <c r="F75" s="80" t="s">
        <v>26</v>
      </c>
      <c r="G75" s="68" t="s">
        <v>27</v>
      </c>
      <c r="H75" s="70">
        <f t="shared" si="6"/>
        <v>16.579999999999998</v>
      </c>
      <c r="I75" s="6">
        <v>16.579999999999998</v>
      </c>
    </row>
    <row r="76" spans="1:9" ht="15.75" thickBot="1" x14ac:dyDescent="0.3">
      <c r="A76" s="68">
        <v>349</v>
      </c>
      <c r="B76" s="68" t="s">
        <v>8</v>
      </c>
      <c r="C76" s="68" t="s">
        <v>107</v>
      </c>
      <c r="D76" s="68" t="s">
        <v>18</v>
      </c>
      <c r="E76" s="68">
        <v>32</v>
      </c>
      <c r="F76" s="80" t="s">
        <v>26</v>
      </c>
      <c r="G76" s="68" t="s">
        <v>27</v>
      </c>
      <c r="H76" s="70">
        <f t="shared" si="6"/>
        <v>19.22</v>
      </c>
      <c r="I76" s="6">
        <v>19.22</v>
      </c>
    </row>
    <row r="77" spans="1:9" x14ac:dyDescent="0.25">
      <c r="A77" s="76"/>
      <c r="B77" s="76"/>
      <c r="C77" s="76"/>
      <c r="D77" s="76"/>
      <c r="E77" s="76"/>
      <c r="F77" s="76"/>
      <c r="G77" s="76"/>
      <c r="H77" s="76"/>
    </row>
    <row r="78" spans="1:9" ht="15.75" thickBot="1" x14ac:dyDescent="0.3">
      <c r="A78" s="243" t="s">
        <v>28</v>
      </c>
      <c r="B78" s="243"/>
      <c r="C78" s="243"/>
      <c r="D78" s="76"/>
      <c r="E78" s="76"/>
      <c r="F78" s="76"/>
      <c r="G78" s="76"/>
      <c r="H78" s="76"/>
    </row>
    <row r="79" spans="1:9" ht="15.75" thickBot="1" x14ac:dyDescent="0.3">
      <c r="A79" s="67">
        <v>132</v>
      </c>
      <c r="B79" s="68" t="s">
        <v>29</v>
      </c>
      <c r="C79" s="68" t="s">
        <v>30</v>
      </c>
      <c r="D79" s="68" t="s">
        <v>10</v>
      </c>
      <c r="E79" s="68">
        <v>20</v>
      </c>
      <c r="F79" s="81" t="s">
        <v>26</v>
      </c>
      <c r="G79" s="67" t="s">
        <v>37</v>
      </c>
      <c r="H79" s="70">
        <f t="shared" ref="H79:H81" si="7">(I79*$I$7)+I79</f>
        <v>29.67</v>
      </c>
      <c r="I79" s="59">
        <v>29.67</v>
      </c>
    </row>
    <row r="80" spans="1:9" ht="15.75" thickBot="1" x14ac:dyDescent="0.3">
      <c r="A80" s="67">
        <v>294</v>
      </c>
      <c r="B80" s="68" t="s">
        <v>29</v>
      </c>
      <c r="C80" s="68" t="s">
        <v>30</v>
      </c>
      <c r="D80" s="68" t="s">
        <v>15</v>
      </c>
      <c r="E80" s="68">
        <v>20</v>
      </c>
      <c r="F80" s="81" t="s">
        <v>26</v>
      </c>
      <c r="G80" s="67" t="s">
        <v>38</v>
      </c>
      <c r="H80" s="70">
        <f t="shared" si="7"/>
        <v>30.58</v>
      </c>
      <c r="I80" s="6">
        <v>30.58</v>
      </c>
    </row>
    <row r="81" spans="1:9" ht="15.75" thickBot="1" x14ac:dyDescent="0.3">
      <c r="A81" s="67">
        <v>300</v>
      </c>
      <c r="B81" s="68" t="s">
        <v>29</v>
      </c>
      <c r="C81" s="68" t="s">
        <v>30</v>
      </c>
      <c r="D81" s="68" t="s">
        <v>18</v>
      </c>
      <c r="E81" s="68">
        <v>20</v>
      </c>
      <c r="F81" s="81" t="s">
        <v>26</v>
      </c>
      <c r="G81" s="67" t="s">
        <v>39</v>
      </c>
      <c r="H81" s="70">
        <f t="shared" si="7"/>
        <v>32.94</v>
      </c>
      <c r="I81" s="6">
        <v>32.94</v>
      </c>
    </row>
    <row r="82" spans="1:9" x14ac:dyDescent="0.25">
      <c r="A82" s="76"/>
      <c r="B82" s="76"/>
      <c r="C82" s="76"/>
      <c r="D82" s="76"/>
      <c r="E82" s="76"/>
      <c r="F82" s="76"/>
      <c r="G82" s="76"/>
      <c r="H82" s="76"/>
    </row>
    <row r="83" spans="1:9" ht="15.75" thickBot="1" x14ac:dyDescent="0.3">
      <c r="A83" s="238" t="s">
        <v>40</v>
      </c>
      <c r="B83" s="238"/>
      <c r="C83" s="238"/>
      <c r="D83" s="76"/>
      <c r="E83" s="76"/>
      <c r="F83" s="76"/>
      <c r="G83" s="76"/>
      <c r="H83" s="76"/>
    </row>
    <row r="84" spans="1:9" ht="15.75" thickBot="1" x14ac:dyDescent="0.3">
      <c r="A84" s="67">
        <v>152</v>
      </c>
      <c r="B84" s="68" t="s">
        <v>41</v>
      </c>
      <c r="C84" s="68" t="s">
        <v>42</v>
      </c>
      <c r="D84" s="68" t="s">
        <v>10</v>
      </c>
      <c r="E84" s="68">
        <v>1000</v>
      </c>
      <c r="F84" s="81" t="s">
        <v>26</v>
      </c>
      <c r="G84" s="67"/>
      <c r="H84" s="70">
        <f t="shared" ref="H84:H86" si="8">(I84*$I$7)+I84</f>
        <v>0.44</v>
      </c>
      <c r="I84" s="37">
        <v>0.44</v>
      </c>
    </row>
    <row r="85" spans="1:9" ht="15.75" thickBot="1" x14ac:dyDescent="0.3">
      <c r="A85" s="67">
        <v>153</v>
      </c>
      <c r="B85" s="68" t="s">
        <v>43</v>
      </c>
      <c r="C85" s="68" t="s">
        <v>42</v>
      </c>
      <c r="D85" s="68" t="s">
        <v>15</v>
      </c>
      <c r="E85" s="68">
        <v>1000</v>
      </c>
      <c r="F85" s="81" t="s">
        <v>26</v>
      </c>
      <c r="G85" s="67"/>
      <c r="H85" s="70">
        <f t="shared" si="8"/>
        <v>0.47</v>
      </c>
      <c r="I85" s="36">
        <v>0.47</v>
      </c>
    </row>
    <row r="86" spans="1:9" ht="15.75" thickBot="1" x14ac:dyDescent="0.3">
      <c r="A86" s="67">
        <v>154</v>
      </c>
      <c r="B86" s="68" t="s">
        <v>44</v>
      </c>
      <c r="C86" s="68" t="s">
        <v>42</v>
      </c>
      <c r="D86" s="68" t="s">
        <v>18</v>
      </c>
      <c r="E86" s="68">
        <v>1000</v>
      </c>
      <c r="F86" s="81" t="s">
        <v>26</v>
      </c>
      <c r="G86" s="67"/>
      <c r="H86" s="70">
        <f t="shared" si="8"/>
        <v>0.49</v>
      </c>
      <c r="I86" s="36">
        <v>0.49</v>
      </c>
    </row>
    <row r="87" spans="1:9" x14ac:dyDescent="0.25">
      <c r="A87" s="76"/>
      <c r="B87" s="76"/>
      <c r="C87" s="76"/>
      <c r="D87" s="76"/>
      <c r="E87" s="76"/>
      <c r="F87" s="76"/>
      <c r="G87" s="76"/>
      <c r="H87" s="76"/>
    </row>
    <row r="88" spans="1:9" ht="15.75" thickBot="1" x14ac:dyDescent="0.3">
      <c r="A88" s="250" t="s">
        <v>45</v>
      </c>
      <c r="B88" s="250"/>
      <c r="C88" s="250"/>
      <c r="D88" s="76"/>
      <c r="E88" s="76"/>
      <c r="F88" s="76"/>
      <c r="G88" s="76"/>
      <c r="H88" s="76"/>
    </row>
    <row r="89" spans="1:9" ht="15.75" thickBot="1" x14ac:dyDescent="0.3">
      <c r="A89" s="67">
        <v>155</v>
      </c>
      <c r="B89" s="68" t="s">
        <v>117</v>
      </c>
      <c r="C89" s="68" t="s">
        <v>47</v>
      </c>
      <c r="D89" s="68"/>
      <c r="E89" s="68">
        <v>12</v>
      </c>
      <c r="F89" s="81" t="s">
        <v>26</v>
      </c>
      <c r="G89" s="67" t="s">
        <v>119</v>
      </c>
      <c r="H89" s="70">
        <f t="shared" ref="H89:H90" si="9">(I89*$I$7)+I89</f>
        <v>71</v>
      </c>
      <c r="I89" s="59">
        <v>71</v>
      </c>
    </row>
    <row r="90" spans="1:9" ht="15.75" thickBot="1" x14ac:dyDescent="0.3">
      <c r="A90" s="67">
        <v>158</v>
      </c>
      <c r="B90" s="68" t="s">
        <v>50</v>
      </c>
      <c r="C90" s="68" t="s">
        <v>100</v>
      </c>
      <c r="D90" s="68"/>
      <c r="E90" s="68">
        <v>150</v>
      </c>
      <c r="F90" s="81" t="s">
        <v>26</v>
      </c>
      <c r="G90" s="67" t="s">
        <v>51</v>
      </c>
      <c r="H90" s="70">
        <f t="shared" si="9"/>
        <v>6.98</v>
      </c>
      <c r="I90" s="6">
        <v>6.98</v>
      </c>
    </row>
    <row r="91" spans="1:9" x14ac:dyDescent="0.25">
      <c r="A91" s="8"/>
      <c r="B91" s="9"/>
      <c r="C91" s="9"/>
      <c r="D91" s="9"/>
      <c r="E91" s="9"/>
      <c r="F91" s="90"/>
      <c r="G91" s="8"/>
      <c r="H91" s="88"/>
      <c r="I91" s="50"/>
    </row>
    <row r="92" spans="1:9" x14ac:dyDescent="0.25">
      <c r="A92" s="8"/>
      <c r="B92" s="9"/>
      <c r="C92" s="9"/>
      <c r="D92" s="9"/>
      <c r="E92" s="9"/>
      <c r="F92" s="90"/>
      <c r="G92" s="8"/>
      <c r="H92" s="88"/>
      <c r="I92" s="50"/>
    </row>
    <row r="93" spans="1:9" x14ac:dyDescent="0.25">
      <c r="A93" s="8"/>
      <c r="B93" s="9"/>
      <c r="C93" s="9"/>
      <c r="D93" s="9"/>
      <c r="E93" s="9"/>
      <c r="F93" s="90"/>
      <c r="G93" s="8"/>
      <c r="H93" s="88"/>
      <c r="I93" s="50"/>
    </row>
    <row r="94" spans="1:9" x14ac:dyDescent="0.25">
      <c r="A94" s="8"/>
      <c r="B94" s="9"/>
      <c r="C94" s="9"/>
      <c r="D94" s="9"/>
      <c r="E94" s="9"/>
      <c r="F94" s="90"/>
      <c r="G94" s="8"/>
      <c r="H94" s="88"/>
      <c r="I94" s="50"/>
    </row>
    <row r="95" spans="1:9" x14ac:dyDescent="0.25">
      <c r="A95" s="8"/>
      <c r="B95" s="9"/>
      <c r="C95" s="9"/>
      <c r="D95" s="9"/>
      <c r="E95" s="9"/>
      <c r="F95" s="90"/>
      <c r="G95" s="8"/>
      <c r="H95" s="88"/>
      <c r="I95" s="50"/>
    </row>
    <row r="96" spans="1:9" x14ac:dyDescent="0.25">
      <c r="A96" s="8"/>
      <c r="B96" s="9"/>
      <c r="C96" s="9"/>
      <c r="D96" s="9"/>
      <c r="E96" s="9"/>
      <c r="F96" s="90"/>
      <c r="G96" s="8"/>
      <c r="H96" s="88"/>
      <c r="I96" s="50"/>
    </row>
    <row r="97" spans="1:9" x14ac:dyDescent="0.25">
      <c r="A97" s="8"/>
      <c r="B97" s="9"/>
      <c r="C97" s="9"/>
      <c r="D97" s="9"/>
      <c r="E97" s="9"/>
      <c r="F97" s="90"/>
      <c r="G97" s="8"/>
      <c r="H97" s="88"/>
      <c r="I97" s="50"/>
    </row>
    <row r="98" spans="1:9" x14ac:dyDescent="0.25">
      <c r="A98" s="8"/>
      <c r="B98" s="9"/>
      <c r="C98" s="9"/>
      <c r="D98" s="9"/>
      <c r="E98" s="9"/>
      <c r="F98" s="90"/>
      <c r="G98" s="8"/>
      <c r="H98" s="88"/>
      <c r="I98" s="50"/>
    </row>
    <row r="99" spans="1:9" x14ac:dyDescent="0.25">
      <c r="A99" s="8"/>
      <c r="B99" s="9"/>
      <c r="C99" s="9"/>
      <c r="D99" s="9"/>
      <c r="E99" s="9"/>
      <c r="F99" s="90"/>
      <c r="G99" s="8"/>
      <c r="H99" s="88"/>
      <c r="I99" s="50"/>
    </row>
    <row r="100" spans="1:9" x14ac:dyDescent="0.25">
      <c r="A100" s="8"/>
      <c r="B100" s="9"/>
      <c r="C100" s="9"/>
      <c r="D100" s="9"/>
      <c r="E100" s="9"/>
      <c r="F100" s="90"/>
      <c r="G100" s="8"/>
      <c r="H100" s="88"/>
      <c r="I100" s="50"/>
    </row>
    <row r="101" spans="1:9" x14ac:dyDescent="0.25">
      <c r="A101" s="8"/>
      <c r="B101" s="9"/>
      <c r="C101" s="9"/>
      <c r="D101" s="9"/>
      <c r="E101" s="9"/>
      <c r="F101" s="90"/>
      <c r="G101" s="8"/>
      <c r="H101" s="88"/>
      <c r="I101" s="50"/>
    </row>
    <row r="102" spans="1:9" x14ac:dyDescent="0.25">
      <c r="A102" s="8"/>
      <c r="B102" s="9"/>
      <c r="C102" s="9"/>
      <c r="D102" s="9"/>
      <c r="E102" s="9"/>
      <c r="F102" s="90"/>
      <c r="G102" s="8"/>
      <c r="H102" s="88"/>
      <c r="I102" s="50"/>
    </row>
    <row r="103" spans="1:9" x14ac:dyDescent="0.25">
      <c r="A103" s="8"/>
      <c r="B103" s="9"/>
      <c r="C103" s="9"/>
      <c r="D103" s="9"/>
      <c r="E103" s="9"/>
      <c r="F103" s="90"/>
      <c r="G103" s="8"/>
      <c r="H103" s="88"/>
      <c r="I103" s="50"/>
    </row>
    <row r="104" spans="1:9" x14ac:dyDescent="0.25">
      <c r="A104" s="8"/>
      <c r="B104" s="9"/>
      <c r="C104" s="9"/>
      <c r="D104" s="9"/>
      <c r="E104" s="9"/>
      <c r="F104" s="90"/>
      <c r="G104" s="8"/>
      <c r="H104" s="88"/>
      <c r="I104" s="50"/>
    </row>
    <row r="105" spans="1:9" x14ac:dyDescent="0.25">
      <c r="A105" s="8"/>
      <c r="B105" s="9"/>
      <c r="C105" s="9"/>
      <c r="D105" s="9"/>
      <c r="E105" s="9"/>
      <c r="F105" s="90"/>
      <c r="G105" s="8"/>
      <c r="H105" s="88"/>
      <c r="I105" s="50"/>
    </row>
    <row r="106" spans="1:9" x14ac:dyDescent="0.25">
      <c r="A106" s="8"/>
      <c r="B106" s="9"/>
      <c r="C106" s="9"/>
      <c r="D106" s="9"/>
      <c r="E106" s="9"/>
      <c r="F106" s="90"/>
      <c r="G106" s="8"/>
      <c r="H106" s="88"/>
      <c r="I106" s="50"/>
    </row>
    <row r="107" spans="1:9" x14ac:dyDescent="0.25">
      <c r="A107" s="8"/>
      <c r="B107" s="9"/>
      <c r="C107" s="9"/>
      <c r="D107" s="9"/>
      <c r="E107" s="9"/>
      <c r="F107" s="90"/>
      <c r="G107" s="8"/>
      <c r="H107" s="88"/>
      <c r="I107" s="50"/>
    </row>
    <row r="108" spans="1:9" x14ac:dyDescent="0.25">
      <c r="A108" s="8"/>
      <c r="B108" s="9"/>
      <c r="C108" s="9"/>
      <c r="D108" s="9"/>
      <c r="E108" s="9"/>
      <c r="F108" s="90"/>
      <c r="G108" s="8"/>
      <c r="H108" s="88"/>
      <c r="I108" s="50"/>
    </row>
    <row r="109" spans="1:9" x14ac:dyDescent="0.25">
      <c r="A109" s="8"/>
      <c r="B109" s="9"/>
      <c r="C109" s="9"/>
      <c r="D109" s="9"/>
      <c r="E109" s="9"/>
      <c r="F109" s="90"/>
      <c r="G109" s="8"/>
      <c r="H109" s="88"/>
      <c r="I109" s="50"/>
    </row>
    <row r="110" spans="1:9" x14ac:dyDescent="0.25">
      <c r="A110" s="8"/>
      <c r="B110" s="9"/>
      <c r="C110" s="9"/>
      <c r="D110" s="9"/>
      <c r="E110" s="9"/>
      <c r="F110" s="90"/>
      <c r="G110" s="8"/>
      <c r="H110" s="88"/>
      <c r="I110" s="50"/>
    </row>
    <row r="111" spans="1:9" x14ac:dyDescent="0.25">
      <c r="A111" s="8"/>
      <c r="B111" s="9"/>
      <c r="C111" s="9"/>
      <c r="D111" s="9"/>
      <c r="E111" s="9"/>
      <c r="F111" s="90"/>
      <c r="G111" s="8"/>
      <c r="H111" s="88"/>
      <c r="I111" s="50"/>
    </row>
    <row r="112" spans="1:9" x14ac:dyDescent="0.25">
      <c r="A112" s="8"/>
      <c r="B112" s="9"/>
      <c r="C112" s="9"/>
      <c r="D112" s="9"/>
      <c r="E112" s="9"/>
      <c r="F112" s="90"/>
      <c r="G112" s="8"/>
      <c r="H112" s="88"/>
      <c r="I112" s="50"/>
    </row>
    <row r="113" spans="1:9" x14ac:dyDescent="0.25">
      <c r="A113" s="8"/>
      <c r="B113" s="9"/>
      <c r="C113" s="9"/>
      <c r="D113" s="9"/>
      <c r="E113" s="9"/>
      <c r="F113" s="90"/>
      <c r="G113" s="8"/>
      <c r="H113" s="88"/>
      <c r="I113" s="50"/>
    </row>
    <row r="114" spans="1:9" x14ac:dyDescent="0.25">
      <c r="A114" s="8"/>
      <c r="B114" s="9"/>
      <c r="C114" s="9"/>
      <c r="D114" s="9"/>
      <c r="E114" s="9"/>
      <c r="F114" s="90"/>
      <c r="G114" s="8"/>
      <c r="H114" s="88"/>
      <c r="I114" s="50"/>
    </row>
    <row r="115" spans="1:9" x14ac:dyDescent="0.25">
      <c r="A115" s="8"/>
      <c r="B115" s="9"/>
      <c r="C115" s="9"/>
      <c r="D115" s="9"/>
      <c r="E115" s="9"/>
      <c r="F115" s="90"/>
      <c r="G115" s="8"/>
      <c r="H115" s="88"/>
      <c r="I115" s="50"/>
    </row>
    <row r="116" spans="1:9" x14ac:dyDescent="0.25">
      <c r="A116" s="8"/>
      <c r="B116" s="9"/>
      <c r="C116" s="9"/>
      <c r="D116" s="9"/>
      <c r="E116" s="9"/>
      <c r="F116" s="90"/>
      <c r="G116" s="8"/>
      <c r="H116" s="88"/>
      <c r="I116" s="50"/>
    </row>
    <row r="117" spans="1:9" x14ac:dyDescent="0.25">
      <c r="A117" s="8"/>
      <c r="B117" s="9"/>
      <c r="C117" s="9"/>
      <c r="D117" s="9"/>
      <c r="E117" s="9"/>
      <c r="F117" s="90"/>
      <c r="G117" s="8"/>
      <c r="H117" s="88"/>
      <c r="I117" s="50"/>
    </row>
    <row r="118" spans="1:9" x14ac:dyDescent="0.25">
      <c r="A118" s="8"/>
      <c r="B118" s="9"/>
      <c r="C118" s="9"/>
      <c r="D118" s="9"/>
      <c r="E118" s="9"/>
      <c r="F118" s="90"/>
      <c r="G118" s="8"/>
      <c r="H118" s="88"/>
      <c r="I118" s="50"/>
    </row>
    <row r="119" spans="1:9" x14ac:dyDescent="0.25">
      <c r="A119" s="8"/>
      <c r="B119" s="9"/>
      <c r="C119" s="9"/>
      <c r="D119" s="9"/>
      <c r="E119" s="9"/>
      <c r="F119" s="90"/>
      <c r="G119" s="8"/>
      <c r="H119" s="88"/>
      <c r="I119" s="50"/>
    </row>
    <row r="120" spans="1:9" x14ac:dyDescent="0.25">
      <c r="A120" s="8"/>
      <c r="B120" s="9"/>
      <c r="C120" s="9"/>
      <c r="D120" s="9"/>
      <c r="E120" s="9"/>
      <c r="F120" s="90"/>
      <c r="G120" s="8"/>
      <c r="H120" s="88"/>
      <c r="I120" s="50"/>
    </row>
    <row r="121" spans="1:9" x14ac:dyDescent="0.25">
      <c r="A121" s="8"/>
      <c r="B121" s="9"/>
      <c r="C121" s="9"/>
      <c r="D121" s="9"/>
      <c r="E121" s="9"/>
      <c r="F121" s="90"/>
      <c r="G121" s="8"/>
      <c r="H121" s="88"/>
      <c r="I121" s="50"/>
    </row>
    <row r="122" spans="1:9" x14ac:dyDescent="0.25">
      <c r="A122" s="8"/>
      <c r="B122" s="9"/>
      <c r="C122" s="9"/>
      <c r="D122" s="9"/>
      <c r="E122" s="9"/>
      <c r="F122" s="90"/>
      <c r="G122" s="8"/>
      <c r="H122" s="88"/>
      <c r="I122" s="50"/>
    </row>
    <row r="123" spans="1:9" x14ac:dyDescent="0.25">
      <c r="A123" s="8"/>
      <c r="B123" s="9"/>
      <c r="C123" s="9"/>
      <c r="D123" s="9"/>
      <c r="E123" s="9"/>
      <c r="F123" s="90"/>
      <c r="G123" s="8"/>
      <c r="H123" s="88"/>
      <c r="I123" s="50"/>
    </row>
    <row r="124" spans="1:9" x14ac:dyDescent="0.25">
      <c r="A124" s="8"/>
      <c r="B124" s="9"/>
      <c r="C124" s="9"/>
      <c r="D124" s="9"/>
      <c r="E124" s="9"/>
      <c r="F124" s="90"/>
      <c r="G124" s="8"/>
      <c r="H124" s="88"/>
      <c r="I124" s="50"/>
    </row>
    <row r="125" spans="1:9" x14ac:dyDescent="0.25">
      <c r="A125" s="8"/>
      <c r="B125" s="9"/>
      <c r="C125" s="9"/>
      <c r="D125" s="9"/>
      <c r="E125" s="9"/>
      <c r="F125" s="90"/>
      <c r="G125" s="8"/>
      <c r="H125" s="88"/>
      <c r="I125" s="50"/>
    </row>
    <row r="126" spans="1:9" x14ac:dyDescent="0.25">
      <c r="A126" s="8"/>
      <c r="B126" s="9"/>
      <c r="C126" s="9"/>
      <c r="D126" s="9"/>
      <c r="E126" s="9"/>
      <c r="F126" s="90"/>
      <c r="G126" s="8"/>
      <c r="H126" s="88"/>
      <c r="I126" s="50"/>
    </row>
    <row r="127" spans="1:9" x14ac:dyDescent="0.25">
      <c r="A127" s="8"/>
      <c r="B127" s="9"/>
      <c r="C127" s="9"/>
      <c r="D127" s="9"/>
      <c r="E127" s="9"/>
      <c r="F127" s="90"/>
      <c r="G127" s="8"/>
      <c r="H127" s="88"/>
      <c r="I127" s="50"/>
    </row>
    <row r="128" spans="1:9" x14ac:dyDescent="0.25">
      <c r="A128" s="8"/>
      <c r="B128" s="9"/>
      <c r="C128" s="9"/>
      <c r="D128" s="9"/>
      <c r="E128" s="9"/>
      <c r="F128" s="90"/>
      <c r="G128" s="8"/>
      <c r="H128" s="88"/>
      <c r="I128" s="50"/>
    </row>
    <row r="129" spans="1:9" x14ac:dyDescent="0.25">
      <c r="A129" s="8"/>
      <c r="B129" s="9"/>
      <c r="C129" s="9"/>
      <c r="D129" s="9"/>
      <c r="E129" s="9"/>
      <c r="F129" s="90"/>
      <c r="G129" s="8"/>
      <c r="H129" s="88"/>
      <c r="I129" s="50"/>
    </row>
    <row r="130" spans="1:9" x14ac:dyDescent="0.25">
      <c r="A130" s="8"/>
      <c r="B130" s="9"/>
      <c r="C130" s="9"/>
      <c r="D130" s="9"/>
      <c r="E130" s="9"/>
      <c r="F130" s="90"/>
      <c r="G130" s="8"/>
      <c r="H130" s="88"/>
      <c r="I130" s="50"/>
    </row>
    <row r="131" spans="1:9" x14ac:dyDescent="0.25">
      <c r="A131" s="8"/>
      <c r="B131" s="9"/>
      <c r="C131" s="9"/>
      <c r="D131" s="9"/>
      <c r="E131" s="9"/>
      <c r="F131" s="90"/>
      <c r="G131" s="8"/>
      <c r="H131" s="88"/>
      <c r="I131" s="50"/>
    </row>
    <row r="132" spans="1:9" x14ac:dyDescent="0.25">
      <c r="A132" s="8"/>
      <c r="B132" s="9"/>
      <c r="C132" s="9"/>
      <c r="D132" s="9"/>
      <c r="E132" s="9"/>
      <c r="F132" s="90"/>
      <c r="G132" s="8"/>
      <c r="H132" s="88"/>
      <c r="I132" s="50"/>
    </row>
    <row r="135" spans="1:9" x14ac:dyDescent="0.25">
      <c r="A135" s="207" t="s">
        <v>116</v>
      </c>
      <c r="B135" s="207"/>
      <c r="C135" s="207"/>
      <c r="D135" s="207"/>
      <c r="E135" s="207"/>
      <c r="F135" s="207"/>
      <c r="G135" s="207"/>
      <c r="H135" s="207"/>
      <c r="I135" s="207"/>
    </row>
    <row r="136" spans="1:9" x14ac:dyDescent="0.25">
      <c r="A136" s="207"/>
      <c r="B136" s="207"/>
      <c r="C136" s="207"/>
      <c r="D136" s="207"/>
      <c r="E136" s="207"/>
      <c r="F136" s="207"/>
      <c r="G136" s="207"/>
      <c r="H136" s="207"/>
      <c r="I136" s="207"/>
    </row>
    <row r="137" spans="1:9" x14ac:dyDescent="0.25">
      <c r="A137" s="207"/>
      <c r="B137" s="207"/>
      <c r="C137" s="207"/>
      <c r="D137" s="207"/>
      <c r="E137" s="207"/>
      <c r="F137" s="207"/>
      <c r="G137" s="207"/>
      <c r="H137" s="207"/>
      <c r="I137" s="207"/>
    </row>
    <row r="138" spans="1:9" x14ac:dyDescent="0.25">
      <c r="A138" s="207"/>
      <c r="B138" s="207"/>
      <c r="C138" s="207"/>
      <c r="D138" s="207"/>
      <c r="E138" s="207"/>
      <c r="F138" s="207"/>
      <c r="G138" s="207"/>
      <c r="H138" s="207"/>
      <c r="I138" s="207"/>
    </row>
    <row r="140" spans="1:9" ht="15.75" thickBot="1" x14ac:dyDescent="0.3">
      <c r="A140" s="225" t="s">
        <v>1</v>
      </c>
      <c r="B140" s="225"/>
      <c r="C140" s="225"/>
      <c r="D140" s="65"/>
      <c r="E140" s="65"/>
      <c r="F140" s="65"/>
      <c r="G140" s="65"/>
      <c r="H140" s="65"/>
      <c r="I140" s="38"/>
    </row>
    <row r="141" spans="1:9" x14ac:dyDescent="0.25">
      <c r="A141" s="215" t="s">
        <v>2</v>
      </c>
      <c r="B141" s="215" t="s">
        <v>3</v>
      </c>
      <c r="C141" s="215" t="s">
        <v>4</v>
      </c>
      <c r="D141" s="228"/>
      <c r="E141" s="215" t="s">
        <v>5</v>
      </c>
      <c r="F141" s="65" t="s">
        <v>6</v>
      </c>
      <c r="G141" s="65" t="s">
        <v>104</v>
      </c>
      <c r="H141" s="66" t="s">
        <v>7</v>
      </c>
      <c r="I141" s="222"/>
    </row>
    <row r="142" spans="1:9" ht="15.75" thickBot="1" x14ac:dyDescent="0.3">
      <c r="A142" s="215"/>
      <c r="B142" s="215"/>
      <c r="C142" s="215"/>
      <c r="D142" s="228"/>
      <c r="E142" s="215"/>
      <c r="F142" s="65"/>
      <c r="G142" s="65"/>
      <c r="H142" s="66"/>
      <c r="I142" s="219"/>
    </row>
    <row r="143" spans="1:9" ht="15.75" thickBot="1" x14ac:dyDescent="0.3">
      <c r="A143" s="68">
        <v>1957</v>
      </c>
      <c r="B143" s="68" t="s">
        <v>8</v>
      </c>
      <c r="C143" s="68" t="s">
        <v>106</v>
      </c>
      <c r="D143" s="68" t="s">
        <v>10</v>
      </c>
      <c r="E143" s="68"/>
      <c r="F143" s="82" t="s">
        <v>105</v>
      </c>
      <c r="G143" s="68" t="s">
        <v>27</v>
      </c>
      <c r="H143" s="70">
        <f>(I143*$I$7)+I143</f>
        <v>27.88</v>
      </c>
      <c r="I143" s="6">
        <v>27.88</v>
      </c>
    </row>
    <row r="144" spans="1:9" ht="15.75" thickBot="1" x14ac:dyDescent="0.3">
      <c r="A144" s="68">
        <v>1958</v>
      </c>
      <c r="B144" s="68" t="s">
        <v>8</v>
      </c>
      <c r="C144" s="68" t="s">
        <v>106</v>
      </c>
      <c r="D144" s="68" t="s">
        <v>15</v>
      </c>
      <c r="E144" s="68"/>
      <c r="F144" s="82" t="s">
        <v>105</v>
      </c>
      <c r="G144" s="68" t="s">
        <v>27</v>
      </c>
      <c r="H144" s="70">
        <f t="shared" ref="H144:H145" si="10">(I144*$I$7)+I144</f>
        <v>28.67</v>
      </c>
      <c r="I144" s="6">
        <v>28.67</v>
      </c>
    </row>
    <row r="145" spans="1:9" ht="15.75" thickBot="1" x14ac:dyDescent="0.3">
      <c r="A145" s="68">
        <v>1959</v>
      </c>
      <c r="B145" s="68" t="s">
        <v>8</v>
      </c>
      <c r="C145" s="68" t="s">
        <v>106</v>
      </c>
      <c r="D145" s="68" t="s">
        <v>18</v>
      </c>
      <c r="E145" s="68"/>
      <c r="F145" s="82" t="s">
        <v>105</v>
      </c>
      <c r="G145" s="68" t="s">
        <v>27</v>
      </c>
      <c r="H145" s="70">
        <f t="shared" si="10"/>
        <v>30.77</v>
      </c>
      <c r="I145" s="6">
        <v>30.77</v>
      </c>
    </row>
    <row r="146" spans="1:9" x14ac:dyDescent="0.25">
      <c r="A146" s="76"/>
      <c r="B146" s="76"/>
      <c r="C146" s="76"/>
      <c r="D146" s="76"/>
      <c r="E146" s="76"/>
      <c r="F146" s="76"/>
      <c r="G146" s="76"/>
      <c r="H146" s="76"/>
    </row>
    <row r="147" spans="1:9" ht="15.75" thickBot="1" x14ac:dyDescent="0.3">
      <c r="A147" s="249" t="s">
        <v>28</v>
      </c>
      <c r="B147" s="249"/>
      <c r="C147" s="249"/>
      <c r="D147" s="76"/>
      <c r="E147" s="76"/>
      <c r="F147" s="76"/>
      <c r="G147" s="76"/>
      <c r="H147" s="76"/>
    </row>
    <row r="148" spans="1:9" ht="15.75" thickBot="1" x14ac:dyDescent="0.3">
      <c r="A148" s="67">
        <v>1960</v>
      </c>
      <c r="B148" s="68" t="s">
        <v>29</v>
      </c>
      <c r="C148" s="68" t="s">
        <v>111</v>
      </c>
      <c r="D148" s="68" t="s">
        <v>10</v>
      </c>
      <c r="E148" s="68"/>
      <c r="F148" s="83" t="s">
        <v>105</v>
      </c>
      <c r="G148" s="67" t="s">
        <v>108</v>
      </c>
      <c r="H148" s="70">
        <f t="shared" ref="H148:H150" si="11">(I148*$I$7)+I148</f>
        <v>94.88</v>
      </c>
      <c r="I148" s="59">
        <v>94.88</v>
      </c>
    </row>
    <row r="149" spans="1:9" ht="15.75" thickBot="1" x14ac:dyDescent="0.3">
      <c r="A149" s="67">
        <v>1961</v>
      </c>
      <c r="B149" s="68" t="s">
        <v>29</v>
      </c>
      <c r="C149" s="68" t="s">
        <v>111</v>
      </c>
      <c r="D149" s="68" t="s">
        <v>15</v>
      </c>
      <c r="E149" s="68"/>
      <c r="F149" s="83" t="s">
        <v>105</v>
      </c>
      <c r="G149" s="67" t="s">
        <v>109</v>
      </c>
      <c r="H149" s="70">
        <f t="shared" si="11"/>
        <v>98.7</v>
      </c>
      <c r="I149" s="6">
        <v>98.7</v>
      </c>
    </row>
    <row r="150" spans="1:9" ht="15.75" thickBot="1" x14ac:dyDescent="0.3">
      <c r="A150" s="67">
        <v>1962</v>
      </c>
      <c r="B150" s="68" t="s">
        <v>29</v>
      </c>
      <c r="C150" s="68" t="s">
        <v>111</v>
      </c>
      <c r="D150" s="68" t="s">
        <v>18</v>
      </c>
      <c r="E150" s="68"/>
      <c r="F150" s="83" t="s">
        <v>105</v>
      </c>
      <c r="G150" s="67" t="s">
        <v>110</v>
      </c>
      <c r="H150" s="70">
        <f t="shared" si="11"/>
        <v>107.44</v>
      </c>
      <c r="I150" s="6">
        <v>107.44</v>
      </c>
    </row>
    <row r="151" spans="1:9" x14ac:dyDescent="0.25">
      <c r="A151" s="76"/>
      <c r="B151" s="76"/>
      <c r="C151" s="76"/>
      <c r="D151" s="76"/>
      <c r="E151" s="76"/>
      <c r="F151" s="76"/>
      <c r="G151" s="76"/>
      <c r="H151" s="76"/>
    </row>
    <row r="152" spans="1:9" ht="15.75" thickBot="1" x14ac:dyDescent="0.3">
      <c r="A152" s="238" t="s">
        <v>40</v>
      </c>
      <c r="B152" s="238"/>
      <c r="C152" s="238"/>
      <c r="D152" s="76"/>
      <c r="E152" s="76"/>
      <c r="F152" s="76"/>
      <c r="G152" s="76"/>
      <c r="H152" s="76"/>
    </row>
    <row r="153" spans="1:9" ht="15.75" thickBot="1" x14ac:dyDescent="0.3">
      <c r="A153" s="68">
        <v>1641</v>
      </c>
      <c r="B153" s="68" t="s">
        <v>95</v>
      </c>
      <c r="C153" s="68" t="s">
        <v>42</v>
      </c>
      <c r="D153" s="68" t="s">
        <v>10</v>
      </c>
      <c r="E153" s="68"/>
      <c r="F153" s="84" t="s">
        <v>98</v>
      </c>
      <c r="G153" s="68"/>
      <c r="H153" s="70">
        <f t="shared" ref="H153:H155" si="12">(I153*$I$7)+I153</f>
        <v>0.6</v>
      </c>
      <c r="I153" s="37">
        <v>0.6</v>
      </c>
    </row>
    <row r="154" spans="1:9" ht="15.75" thickBot="1" x14ac:dyDescent="0.3">
      <c r="A154" s="68">
        <v>1642</v>
      </c>
      <c r="B154" s="68" t="s">
        <v>96</v>
      </c>
      <c r="C154" s="68" t="s">
        <v>42</v>
      </c>
      <c r="D154" s="68" t="s">
        <v>15</v>
      </c>
      <c r="E154" s="68"/>
      <c r="F154" s="84" t="s">
        <v>98</v>
      </c>
      <c r="G154" s="68"/>
      <c r="H154" s="70">
        <f t="shared" si="12"/>
        <v>0.62</v>
      </c>
      <c r="I154" s="36">
        <v>0.62</v>
      </c>
    </row>
    <row r="155" spans="1:9" ht="15.75" thickBot="1" x14ac:dyDescent="0.3">
      <c r="A155" s="68">
        <v>1643</v>
      </c>
      <c r="B155" s="68" t="s">
        <v>97</v>
      </c>
      <c r="C155" s="68" t="s">
        <v>42</v>
      </c>
      <c r="D155" s="68" t="s">
        <v>18</v>
      </c>
      <c r="E155" s="68"/>
      <c r="F155" s="84" t="s">
        <v>98</v>
      </c>
      <c r="G155" s="68"/>
      <c r="H155" s="70">
        <f t="shared" si="12"/>
        <v>0.65</v>
      </c>
      <c r="I155" s="36">
        <v>0.65</v>
      </c>
    </row>
    <row r="156" spans="1:9" x14ac:dyDescent="0.25">
      <c r="A156" s="76"/>
      <c r="B156" s="76"/>
      <c r="C156" s="76"/>
      <c r="D156" s="76"/>
      <c r="E156" s="76"/>
      <c r="F156" s="76"/>
      <c r="G156" s="76"/>
      <c r="H156" s="76"/>
    </row>
    <row r="157" spans="1:9" ht="15.75" thickBot="1" x14ac:dyDescent="0.3">
      <c r="A157" s="250" t="s">
        <v>45</v>
      </c>
      <c r="B157" s="250"/>
      <c r="C157" s="250"/>
      <c r="D157" s="76"/>
      <c r="E157" s="76"/>
      <c r="F157" s="76"/>
      <c r="G157" s="76"/>
      <c r="H157" s="76"/>
    </row>
    <row r="158" spans="1:9" ht="15.75" thickBot="1" x14ac:dyDescent="0.3">
      <c r="A158" s="68">
        <v>1209</v>
      </c>
      <c r="B158" s="68" t="s">
        <v>46</v>
      </c>
      <c r="C158" s="68" t="s">
        <v>47</v>
      </c>
      <c r="D158" s="68"/>
      <c r="E158" s="68"/>
      <c r="F158" s="84" t="s">
        <v>98</v>
      </c>
      <c r="G158" s="68" t="s">
        <v>118</v>
      </c>
      <c r="H158" s="70">
        <f t="shared" ref="H158:H160" si="13">(I158*$I$7)+I158</f>
        <v>86.5</v>
      </c>
      <c r="I158" s="59">
        <v>86.5</v>
      </c>
    </row>
    <row r="159" spans="1:9" ht="15.75" thickBot="1" x14ac:dyDescent="0.3">
      <c r="A159" s="68">
        <v>1640</v>
      </c>
      <c r="B159" s="68" t="s">
        <v>50</v>
      </c>
      <c r="C159" s="68" t="s">
        <v>100</v>
      </c>
      <c r="D159" s="68"/>
      <c r="E159" s="68"/>
      <c r="F159" s="84" t="s">
        <v>98</v>
      </c>
      <c r="G159" s="68" t="s">
        <v>119</v>
      </c>
      <c r="H159" s="70">
        <f t="shared" si="13"/>
        <v>7.96</v>
      </c>
      <c r="I159" s="6">
        <v>7.96</v>
      </c>
    </row>
    <row r="160" spans="1:9" ht="15.75" thickBot="1" x14ac:dyDescent="0.3">
      <c r="A160" s="68">
        <v>1639</v>
      </c>
      <c r="B160" s="68" t="s">
        <v>50</v>
      </c>
      <c r="C160" s="68" t="s">
        <v>101</v>
      </c>
      <c r="D160" s="68"/>
      <c r="E160" s="68"/>
      <c r="F160" s="84" t="s">
        <v>98</v>
      </c>
      <c r="G160" s="68" t="s">
        <v>119</v>
      </c>
      <c r="H160" s="70">
        <f t="shared" si="13"/>
        <v>4.28</v>
      </c>
      <c r="I160" s="6">
        <v>4.28</v>
      </c>
    </row>
    <row r="161" spans="1:9" x14ac:dyDescent="0.25">
      <c r="A161" s="76"/>
      <c r="B161" s="76"/>
      <c r="C161" s="76"/>
      <c r="D161" s="76"/>
      <c r="E161" s="76"/>
      <c r="F161" s="76"/>
      <c r="G161" s="76"/>
      <c r="H161" s="76"/>
    </row>
    <row r="162" spans="1:9" ht="15.75" thickBot="1" x14ac:dyDescent="0.3">
      <c r="A162" s="251" t="s">
        <v>52</v>
      </c>
      <c r="B162" s="251"/>
      <c r="C162" s="251"/>
      <c r="D162" s="251"/>
      <c r="E162" s="76"/>
      <c r="F162" s="76"/>
      <c r="G162" s="76"/>
      <c r="H162" s="76"/>
    </row>
    <row r="163" spans="1:9" ht="15.75" thickBot="1" x14ac:dyDescent="0.3">
      <c r="A163" s="72">
        <v>159</v>
      </c>
      <c r="B163" s="72" t="s">
        <v>55</v>
      </c>
      <c r="C163" s="72" t="s">
        <v>56</v>
      </c>
      <c r="D163" s="72" t="s">
        <v>57</v>
      </c>
      <c r="E163" s="72" t="s">
        <v>75</v>
      </c>
      <c r="F163" s="84" t="s">
        <v>98</v>
      </c>
      <c r="G163" s="84"/>
      <c r="H163" s="70">
        <f t="shared" ref="H163:H172" si="14">(I163*$I$7)+I163</f>
        <v>5.21</v>
      </c>
      <c r="I163" s="62">
        <v>5.21</v>
      </c>
    </row>
    <row r="164" spans="1:9" ht="15.75" thickBot="1" x14ac:dyDescent="0.3">
      <c r="A164" s="72">
        <v>481</v>
      </c>
      <c r="B164" s="72" t="s">
        <v>55</v>
      </c>
      <c r="C164" s="72" t="s">
        <v>59</v>
      </c>
      <c r="D164" s="72" t="s">
        <v>57</v>
      </c>
      <c r="E164" s="72" t="s">
        <v>76</v>
      </c>
      <c r="F164" s="84" t="s">
        <v>98</v>
      </c>
      <c r="G164" s="84"/>
      <c r="H164" s="70">
        <f t="shared" si="14"/>
        <v>6.44</v>
      </c>
      <c r="I164" s="60">
        <v>6.44</v>
      </c>
    </row>
    <row r="165" spans="1:9" ht="15.75" thickBot="1" x14ac:dyDescent="0.3">
      <c r="A165" s="72">
        <v>160</v>
      </c>
      <c r="B165" s="72" t="s">
        <v>55</v>
      </c>
      <c r="C165" s="72" t="s">
        <v>60</v>
      </c>
      <c r="D165" s="72" t="s">
        <v>57</v>
      </c>
      <c r="E165" s="72" t="s">
        <v>63</v>
      </c>
      <c r="F165" s="84" t="s">
        <v>98</v>
      </c>
      <c r="G165" s="84"/>
      <c r="H165" s="70">
        <f t="shared" si="14"/>
        <v>7.38</v>
      </c>
      <c r="I165" s="60">
        <v>7.38</v>
      </c>
    </row>
    <row r="166" spans="1:9" ht="15.75" thickBot="1" x14ac:dyDescent="0.3">
      <c r="A166" s="72">
        <v>161</v>
      </c>
      <c r="B166" s="72" t="s">
        <v>55</v>
      </c>
      <c r="C166" s="72" t="s">
        <v>62</v>
      </c>
      <c r="D166" s="72" t="s">
        <v>57</v>
      </c>
      <c r="E166" s="72" t="s">
        <v>72</v>
      </c>
      <c r="F166" s="84" t="s">
        <v>98</v>
      </c>
      <c r="G166" s="84"/>
      <c r="H166" s="70">
        <f t="shared" si="14"/>
        <v>9.49</v>
      </c>
      <c r="I166" s="60">
        <v>9.49</v>
      </c>
    </row>
    <row r="167" spans="1:9" ht="15.75" thickBot="1" x14ac:dyDescent="0.3">
      <c r="A167" s="72">
        <v>162</v>
      </c>
      <c r="B167" s="72" t="s">
        <v>55</v>
      </c>
      <c r="C167" s="72" t="s">
        <v>64</v>
      </c>
      <c r="D167" s="72" t="s">
        <v>57</v>
      </c>
      <c r="E167" s="72" t="s">
        <v>77</v>
      </c>
      <c r="F167" s="84" t="s">
        <v>98</v>
      </c>
      <c r="G167" s="84"/>
      <c r="H167" s="70">
        <f t="shared" si="14"/>
        <v>14.13</v>
      </c>
      <c r="I167" s="60">
        <v>14.13</v>
      </c>
    </row>
    <row r="168" spans="1:9" ht="15.75" thickBot="1" x14ac:dyDescent="0.3">
      <c r="A168" s="72">
        <v>167</v>
      </c>
      <c r="B168" s="72" t="s">
        <v>55</v>
      </c>
      <c r="C168" s="72" t="s">
        <v>66</v>
      </c>
      <c r="D168" s="72" t="s">
        <v>57</v>
      </c>
      <c r="E168" s="72" t="s">
        <v>61</v>
      </c>
      <c r="F168" s="84" t="s">
        <v>98</v>
      </c>
      <c r="G168" s="84"/>
      <c r="H168" s="70">
        <f t="shared" si="14"/>
        <v>7.19</v>
      </c>
      <c r="I168" s="60">
        <v>7.19</v>
      </c>
    </row>
    <row r="169" spans="1:9" ht="15.75" thickBot="1" x14ac:dyDescent="0.3">
      <c r="A169" s="72">
        <v>479</v>
      </c>
      <c r="B169" s="72" t="s">
        <v>55</v>
      </c>
      <c r="C169" s="72" t="s">
        <v>68</v>
      </c>
      <c r="D169" s="72" t="s">
        <v>57</v>
      </c>
      <c r="E169" s="72" t="s">
        <v>63</v>
      </c>
      <c r="F169" s="84" t="s">
        <v>98</v>
      </c>
      <c r="G169" s="84"/>
      <c r="H169" s="70">
        <f t="shared" si="14"/>
        <v>8.9</v>
      </c>
      <c r="I169" s="60">
        <v>8.9</v>
      </c>
    </row>
    <row r="170" spans="1:9" ht="15.75" thickBot="1" x14ac:dyDescent="0.3">
      <c r="A170" s="72">
        <v>168</v>
      </c>
      <c r="B170" s="72" t="s">
        <v>55</v>
      </c>
      <c r="C170" s="72" t="s">
        <v>69</v>
      </c>
      <c r="D170" s="72" t="s">
        <v>57</v>
      </c>
      <c r="E170" s="72" t="s">
        <v>72</v>
      </c>
      <c r="F170" s="84" t="s">
        <v>98</v>
      </c>
      <c r="G170" s="84"/>
      <c r="H170" s="70">
        <f t="shared" si="14"/>
        <v>10.52</v>
      </c>
      <c r="I170" s="60">
        <v>10.52</v>
      </c>
    </row>
    <row r="171" spans="1:9" ht="15.75" thickBot="1" x14ac:dyDescent="0.3">
      <c r="A171" s="72">
        <v>169</v>
      </c>
      <c r="B171" s="72" t="s">
        <v>55</v>
      </c>
      <c r="C171" s="72" t="s">
        <v>71</v>
      </c>
      <c r="D171" s="72" t="s">
        <v>57</v>
      </c>
      <c r="E171" s="72" t="s">
        <v>78</v>
      </c>
      <c r="F171" s="84" t="s">
        <v>98</v>
      </c>
      <c r="G171" s="84"/>
      <c r="H171" s="70">
        <f t="shared" si="14"/>
        <v>13.51</v>
      </c>
      <c r="I171" s="60">
        <v>13.51</v>
      </c>
    </row>
    <row r="172" spans="1:9" ht="15.75" thickBot="1" x14ac:dyDescent="0.3">
      <c r="A172" s="72">
        <v>170</v>
      </c>
      <c r="B172" s="72" t="s">
        <v>55</v>
      </c>
      <c r="C172" s="72" t="s">
        <v>73</v>
      </c>
      <c r="D172" s="72" t="s">
        <v>57</v>
      </c>
      <c r="E172" s="72" t="s">
        <v>79</v>
      </c>
      <c r="F172" s="84" t="s">
        <v>98</v>
      </c>
      <c r="G172" s="84"/>
      <c r="H172" s="70">
        <f t="shared" si="14"/>
        <v>19.48</v>
      </c>
      <c r="I172" s="60">
        <v>19.48</v>
      </c>
    </row>
    <row r="173" spans="1:9" x14ac:dyDescent="0.25">
      <c r="A173" s="76"/>
      <c r="B173" s="76"/>
      <c r="C173" s="76"/>
      <c r="D173" s="76"/>
      <c r="E173" s="76"/>
      <c r="F173" s="76"/>
      <c r="G173" s="76"/>
      <c r="H173" s="76"/>
    </row>
    <row r="174" spans="1:9" ht="15.75" thickBot="1" x14ac:dyDescent="0.3">
      <c r="A174" s="252" t="s">
        <v>80</v>
      </c>
      <c r="B174" s="252"/>
      <c r="C174" s="252"/>
      <c r="D174" s="252"/>
      <c r="E174" s="76"/>
      <c r="F174" s="76"/>
      <c r="G174" s="76"/>
      <c r="H174" s="76"/>
    </row>
    <row r="175" spans="1:9" ht="15.75" thickBot="1" x14ac:dyDescent="0.3">
      <c r="A175" s="72">
        <v>416</v>
      </c>
      <c r="B175" s="72" t="s">
        <v>55</v>
      </c>
      <c r="C175" s="72" t="s">
        <v>56</v>
      </c>
      <c r="D175" s="72" t="s">
        <v>57</v>
      </c>
      <c r="E175" s="72" t="s">
        <v>67</v>
      </c>
      <c r="F175" s="84" t="s">
        <v>98</v>
      </c>
      <c r="G175" s="84"/>
      <c r="H175" s="70">
        <f t="shared" ref="H175:H184" si="15">(I175*$I$7)+I175</f>
        <v>5.05</v>
      </c>
      <c r="I175" s="62">
        <v>5.05</v>
      </c>
    </row>
    <row r="176" spans="1:9" ht="15.75" thickBot="1" x14ac:dyDescent="0.3">
      <c r="A176" s="72">
        <v>477</v>
      </c>
      <c r="B176" s="72" t="s">
        <v>55</v>
      </c>
      <c r="C176" s="72" t="s">
        <v>59</v>
      </c>
      <c r="D176" s="72" t="s">
        <v>57</v>
      </c>
      <c r="E176" s="72" t="s">
        <v>61</v>
      </c>
      <c r="F176" s="84" t="s">
        <v>98</v>
      </c>
      <c r="G176" s="84"/>
      <c r="H176" s="70">
        <f t="shared" si="15"/>
        <v>6.25</v>
      </c>
      <c r="I176" s="60">
        <v>6.25</v>
      </c>
    </row>
    <row r="177" spans="1:9" ht="15.75" thickBot="1" x14ac:dyDescent="0.3">
      <c r="A177" s="72">
        <v>420</v>
      </c>
      <c r="B177" s="72" t="s">
        <v>55</v>
      </c>
      <c r="C177" s="72" t="s">
        <v>60</v>
      </c>
      <c r="D177" s="72" t="s">
        <v>57</v>
      </c>
      <c r="E177" s="72" t="s">
        <v>87</v>
      </c>
      <c r="F177" s="84" t="s">
        <v>98</v>
      </c>
      <c r="G177" s="84"/>
      <c r="H177" s="70">
        <f t="shared" si="15"/>
        <v>7.1</v>
      </c>
      <c r="I177" s="60">
        <v>7.1</v>
      </c>
    </row>
    <row r="178" spans="1:9" ht="15.75" thickBot="1" x14ac:dyDescent="0.3">
      <c r="A178" s="72">
        <v>424</v>
      </c>
      <c r="B178" s="72" t="s">
        <v>55</v>
      </c>
      <c r="C178" s="72" t="s">
        <v>62</v>
      </c>
      <c r="D178" s="72" t="s">
        <v>57</v>
      </c>
      <c r="E178" s="72" t="s">
        <v>88</v>
      </c>
      <c r="F178" s="84" t="s">
        <v>98</v>
      </c>
      <c r="G178" s="84"/>
      <c r="H178" s="70">
        <f t="shared" si="15"/>
        <v>9.1999999999999993</v>
      </c>
      <c r="I178" s="60">
        <v>9.1999999999999993</v>
      </c>
    </row>
    <row r="179" spans="1:9" ht="15.75" thickBot="1" x14ac:dyDescent="0.3">
      <c r="A179" s="72">
        <v>428</v>
      </c>
      <c r="B179" s="72" t="s">
        <v>55</v>
      </c>
      <c r="C179" s="72" t="s">
        <v>64</v>
      </c>
      <c r="D179" s="72" t="s">
        <v>57</v>
      </c>
      <c r="E179" s="72" t="s">
        <v>89</v>
      </c>
      <c r="F179" s="84" t="s">
        <v>98</v>
      </c>
      <c r="G179" s="84"/>
      <c r="H179" s="70">
        <f t="shared" si="15"/>
        <v>13.72</v>
      </c>
      <c r="I179" s="60">
        <v>13.72</v>
      </c>
    </row>
    <row r="180" spans="1:9" ht="15.75" thickBot="1" x14ac:dyDescent="0.3">
      <c r="A180" s="72">
        <v>418</v>
      </c>
      <c r="B180" s="72" t="s">
        <v>55</v>
      </c>
      <c r="C180" s="72" t="s">
        <v>66</v>
      </c>
      <c r="D180" s="72" t="s">
        <v>57</v>
      </c>
      <c r="E180" s="72" t="s">
        <v>90</v>
      </c>
      <c r="F180" s="84" t="s">
        <v>98</v>
      </c>
      <c r="G180" s="84"/>
      <c r="H180" s="70">
        <f t="shared" si="15"/>
        <v>7</v>
      </c>
      <c r="I180" s="60">
        <v>7</v>
      </c>
    </row>
    <row r="181" spans="1:9" ht="15.75" thickBot="1" x14ac:dyDescent="0.3">
      <c r="A181" s="72">
        <v>475</v>
      </c>
      <c r="B181" s="72" t="s">
        <v>55</v>
      </c>
      <c r="C181" s="72" t="s">
        <v>68</v>
      </c>
      <c r="D181" s="72" t="s">
        <v>57</v>
      </c>
      <c r="E181" s="72" t="s">
        <v>78</v>
      </c>
      <c r="F181" s="84" t="s">
        <v>98</v>
      </c>
      <c r="G181" s="84"/>
      <c r="H181" s="70">
        <f t="shared" si="15"/>
        <v>8.6199999999999992</v>
      </c>
      <c r="I181" s="60">
        <v>8.6199999999999992</v>
      </c>
    </row>
    <row r="182" spans="1:9" ht="15.75" thickBot="1" x14ac:dyDescent="0.3">
      <c r="A182" s="72">
        <v>422</v>
      </c>
      <c r="B182" s="72" t="s">
        <v>55</v>
      </c>
      <c r="C182" s="72" t="s">
        <v>69</v>
      </c>
      <c r="D182" s="72" t="s">
        <v>57</v>
      </c>
      <c r="E182" s="72" t="s">
        <v>88</v>
      </c>
      <c r="F182" s="84" t="s">
        <v>98</v>
      </c>
      <c r="G182" s="84"/>
      <c r="H182" s="70">
        <f t="shared" si="15"/>
        <v>10.19</v>
      </c>
      <c r="I182" s="60">
        <v>10.19</v>
      </c>
    </row>
    <row r="183" spans="1:9" ht="15.75" thickBot="1" x14ac:dyDescent="0.3">
      <c r="A183" s="72">
        <v>426</v>
      </c>
      <c r="B183" s="72" t="s">
        <v>55</v>
      </c>
      <c r="C183" s="72" t="s">
        <v>71</v>
      </c>
      <c r="D183" s="72" t="s">
        <v>57</v>
      </c>
      <c r="E183" s="72" t="s">
        <v>91</v>
      </c>
      <c r="F183" s="84" t="s">
        <v>98</v>
      </c>
      <c r="G183" s="84"/>
      <c r="H183" s="70">
        <f t="shared" si="15"/>
        <v>13.11</v>
      </c>
      <c r="I183" s="60">
        <v>13.11</v>
      </c>
    </row>
    <row r="184" spans="1:9" ht="15.75" thickBot="1" x14ac:dyDescent="0.3">
      <c r="A184" s="72">
        <v>430</v>
      </c>
      <c r="B184" s="72" t="s">
        <v>55</v>
      </c>
      <c r="C184" s="72" t="s">
        <v>73</v>
      </c>
      <c r="D184" s="72" t="s">
        <v>57</v>
      </c>
      <c r="E184" s="72" t="s">
        <v>92</v>
      </c>
      <c r="F184" s="84" t="s">
        <v>98</v>
      </c>
      <c r="G184" s="84"/>
      <c r="H184" s="70">
        <f t="shared" si="15"/>
        <v>18.91</v>
      </c>
      <c r="I184" s="60">
        <v>18.91</v>
      </c>
    </row>
    <row r="185" spans="1:9" x14ac:dyDescent="0.25">
      <c r="A185" s="32"/>
      <c r="F185" s="34"/>
      <c r="G185" s="34"/>
      <c r="H185" s="34"/>
      <c r="I185" s="61"/>
    </row>
    <row r="186" spans="1:9" x14ac:dyDescent="0.25">
      <c r="A186" s="205" t="s">
        <v>93</v>
      </c>
      <c r="B186" s="205"/>
      <c r="F186" s="34"/>
      <c r="G186" s="34"/>
      <c r="H186" s="34"/>
      <c r="I186" s="61"/>
    </row>
    <row r="187" spans="1:9" x14ac:dyDescent="0.25">
      <c r="A187" s="35" t="s">
        <v>94</v>
      </c>
      <c r="F187" s="35" t="s">
        <v>112</v>
      </c>
      <c r="G187" s="35"/>
      <c r="H187" s="35"/>
    </row>
  </sheetData>
  <mergeCells count="44">
    <mergeCell ref="A47:D47"/>
    <mergeCell ref="A1:I4"/>
    <mergeCell ref="A6:C6"/>
    <mergeCell ref="A7:A8"/>
    <mergeCell ref="B7:B8"/>
    <mergeCell ref="C7:C8"/>
    <mergeCell ref="D7:D8"/>
    <mergeCell ref="E7:E8"/>
    <mergeCell ref="H7:H8"/>
    <mergeCell ref="I7:I8"/>
    <mergeCell ref="A16:C16"/>
    <mergeCell ref="D16:H16"/>
    <mergeCell ref="A24:C24"/>
    <mergeCell ref="A29:C29"/>
    <mergeCell ref="E29:H29"/>
    <mergeCell ref="A135:I138"/>
    <mergeCell ref="A65:B65"/>
    <mergeCell ref="A66:I69"/>
    <mergeCell ref="A71:C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78:C78"/>
    <mergeCell ref="A83:C83"/>
    <mergeCell ref="A88:C88"/>
    <mergeCell ref="A140:C140"/>
    <mergeCell ref="A141:A142"/>
    <mergeCell ref="B141:B142"/>
    <mergeCell ref="C141:C142"/>
    <mergeCell ref="D141:D142"/>
    <mergeCell ref="A186:B186"/>
    <mergeCell ref="I141:I142"/>
    <mergeCell ref="A147:C147"/>
    <mergeCell ref="A152:C152"/>
    <mergeCell ref="A157:C157"/>
    <mergeCell ref="A162:D162"/>
    <mergeCell ref="A174:D174"/>
    <mergeCell ref="E141:E14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0"/>
  <sheetViews>
    <sheetView workbookViewId="0">
      <selection activeCell="J37" sqref="J37"/>
    </sheetView>
  </sheetViews>
  <sheetFormatPr defaultRowHeight="15" x14ac:dyDescent="0.25"/>
  <cols>
    <col min="1" max="1" width="6.7109375" customWidth="1"/>
    <col min="2" max="2" width="35.5703125" bestFit="1" customWidth="1"/>
    <col min="3" max="3" width="15.140625" bestFit="1" customWidth="1"/>
    <col min="4" max="4" width="6.5703125" bestFit="1" customWidth="1"/>
    <col min="5" max="5" width="9.5703125" bestFit="1" customWidth="1"/>
    <col min="6" max="6" width="8" bestFit="1" customWidth="1"/>
    <col min="7" max="7" width="7.42578125" bestFit="1" customWidth="1"/>
    <col min="8" max="8" width="8.28515625" bestFit="1" customWidth="1"/>
    <col min="9" max="9" width="8.28515625" hidden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6" spans="1:9" ht="15.75" thickBot="1" x14ac:dyDescent="0.3">
      <c r="A6" s="241" t="s">
        <v>1</v>
      </c>
      <c r="B6" s="241"/>
      <c r="C6" s="241"/>
      <c r="D6" s="65"/>
      <c r="E6" s="65"/>
      <c r="F6" s="65"/>
      <c r="G6" s="64"/>
      <c r="H6" s="64"/>
    </row>
    <row r="7" spans="1:9" x14ac:dyDescent="0.25">
      <c r="A7" s="244" t="s">
        <v>2</v>
      </c>
      <c r="B7" s="215" t="s">
        <v>3</v>
      </c>
      <c r="C7" s="215" t="s">
        <v>4</v>
      </c>
      <c r="D7" s="228"/>
      <c r="E7" s="215" t="s">
        <v>5</v>
      </c>
      <c r="F7" s="64" t="s">
        <v>6</v>
      </c>
      <c r="G7" s="64" t="s">
        <v>104</v>
      </c>
      <c r="H7" s="217" t="s">
        <v>7</v>
      </c>
      <c r="I7" s="222">
        <v>0.06</v>
      </c>
    </row>
    <row r="8" spans="1:9" ht="15.75" thickBot="1" x14ac:dyDescent="0.3">
      <c r="A8" s="244"/>
      <c r="B8" s="215"/>
      <c r="C8" s="215"/>
      <c r="D8" s="228"/>
      <c r="E8" s="215"/>
      <c r="F8" s="64"/>
      <c r="G8" s="64"/>
      <c r="H8" s="217"/>
      <c r="I8" s="219"/>
    </row>
    <row r="9" spans="1:9" ht="15.75" thickBot="1" x14ac:dyDescent="0.3">
      <c r="A9" s="67">
        <v>8</v>
      </c>
      <c r="B9" s="68" t="s">
        <v>8</v>
      </c>
      <c r="C9" s="68" t="s">
        <v>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7.4093999999999998</v>
      </c>
      <c r="I9" s="6">
        <v>6.99</v>
      </c>
    </row>
    <row r="10" spans="1:9" ht="15.75" thickBot="1" x14ac:dyDescent="0.3">
      <c r="A10" s="67">
        <v>310</v>
      </c>
      <c r="B10" s="68" t="s">
        <v>8</v>
      </c>
      <c r="C10" s="68" t="s">
        <v>14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10.324400000000001</v>
      </c>
      <c r="I10" s="6">
        <v>9.74</v>
      </c>
    </row>
    <row r="11" spans="1:9" ht="15.75" thickBot="1" x14ac:dyDescent="0.3">
      <c r="A11" s="67">
        <v>326</v>
      </c>
      <c r="B11" s="68" t="s">
        <v>8</v>
      </c>
      <c r="C11" s="68" t="s">
        <v>17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12.561</v>
      </c>
      <c r="I11" s="6">
        <v>11.85</v>
      </c>
    </row>
    <row r="12" spans="1:9" ht="15.75" thickBot="1" x14ac:dyDescent="0.3">
      <c r="A12" s="67">
        <v>13</v>
      </c>
      <c r="B12" s="68" t="s">
        <v>8</v>
      </c>
      <c r="C12" s="68" t="s">
        <v>17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11.532800000000002</v>
      </c>
      <c r="I12" s="6">
        <v>10.88</v>
      </c>
    </row>
    <row r="13" spans="1:9" ht="15.75" thickBot="1" x14ac:dyDescent="0.3">
      <c r="A13" s="67">
        <v>313</v>
      </c>
      <c r="B13" s="68" t="s">
        <v>8</v>
      </c>
      <c r="C13" s="68" t="s">
        <v>21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12.6988</v>
      </c>
      <c r="I13" s="6">
        <v>11.98</v>
      </c>
    </row>
    <row r="14" spans="1:9" ht="15.75" thickBot="1" x14ac:dyDescent="0.3">
      <c r="A14" s="67">
        <v>329</v>
      </c>
      <c r="B14" s="68" t="s">
        <v>8</v>
      </c>
      <c r="C14" s="68" t="s">
        <v>23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15.0732</v>
      </c>
      <c r="I14" s="6">
        <v>14.22</v>
      </c>
    </row>
    <row r="15" spans="1:9" x14ac:dyDescent="0.25">
      <c r="A15" s="76"/>
      <c r="B15" s="76"/>
      <c r="C15" s="76"/>
      <c r="D15" s="76"/>
      <c r="E15" s="76"/>
      <c r="F15" s="76"/>
      <c r="G15" s="76"/>
      <c r="H15" s="76"/>
    </row>
    <row r="16" spans="1:9" x14ac:dyDescent="0.25">
      <c r="A16" s="243" t="s">
        <v>28</v>
      </c>
      <c r="B16" s="243"/>
      <c r="C16" s="243"/>
      <c r="D16" s="254"/>
      <c r="E16" s="254"/>
      <c r="F16" s="254"/>
      <c r="G16" s="254"/>
      <c r="H16" s="254"/>
    </row>
    <row r="17" spans="1:9" ht="15.75" thickBot="1" x14ac:dyDescent="0.3">
      <c r="A17" s="67">
        <v>85</v>
      </c>
      <c r="B17" s="68" t="s">
        <v>29</v>
      </c>
      <c r="C17" s="68" t="s">
        <v>30</v>
      </c>
      <c r="D17" s="68" t="s">
        <v>10</v>
      </c>
      <c r="E17" s="68">
        <v>36</v>
      </c>
      <c r="F17" s="69" t="s">
        <v>12</v>
      </c>
      <c r="G17" s="67" t="s">
        <v>31</v>
      </c>
      <c r="H17" s="70">
        <f>(I17*$I$7)+I17</f>
        <v>16.366399999999999</v>
      </c>
      <c r="I17" s="6">
        <v>15.44</v>
      </c>
    </row>
    <row r="18" spans="1:9" ht="15.75" thickBot="1" x14ac:dyDescent="0.3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19.991599999999998</v>
      </c>
      <c r="I18" s="6">
        <v>18.86</v>
      </c>
    </row>
    <row r="19" spans="1:9" ht="15.75" thickBot="1" x14ac:dyDescent="0.3">
      <c r="A19" s="67">
        <v>279</v>
      </c>
      <c r="B19" s="68" t="s">
        <v>29</v>
      </c>
      <c r="C19" s="68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21.072799999999997</v>
      </c>
      <c r="I19" s="6">
        <v>19.88</v>
      </c>
    </row>
    <row r="20" spans="1:9" ht="15.75" thickBot="1" x14ac:dyDescent="0.3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24.167999999999999</v>
      </c>
      <c r="I20" s="6">
        <v>22.8</v>
      </c>
    </row>
    <row r="21" spans="1:9" ht="15.75" thickBot="1" x14ac:dyDescent="0.3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26.351599999999998</v>
      </c>
      <c r="I21" s="6">
        <v>24.86</v>
      </c>
    </row>
    <row r="22" spans="1:9" ht="15.75" thickBot="1" x14ac:dyDescent="0.3">
      <c r="A22" s="67">
        <v>286</v>
      </c>
      <c r="B22" s="68" t="s">
        <v>29</v>
      </c>
      <c r="C22" s="68" t="s">
        <v>30</v>
      </c>
      <c r="D22" s="68" t="s">
        <v>18</v>
      </c>
      <c r="E22" s="68">
        <v>25</v>
      </c>
      <c r="F22" s="69" t="s">
        <v>12</v>
      </c>
      <c r="G22" s="67" t="s">
        <v>36</v>
      </c>
      <c r="H22" s="70">
        <f t="shared" si="1"/>
        <v>28.471599999999999</v>
      </c>
      <c r="I22" s="6">
        <v>26.86</v>
      </c>
    </row>
    <row r="23" spans="1:9" x14ac:dyDescent="0.25">
      <c r="A23" s="76"/>
      <c r="B23" s="76"/>
      <c r="C23" s="76"/>
      <c r="D23" s="76"/>
      <c r="E23" s="76"/>
      <c r="F23" s="76"/>
      <c r="G23" s="76"/>
      <c r="H23" s="76"/>
    </row>
    <row r="24" spans="1:9" ht="15.75" thickBot="1" x14ac:dyDescent="0.3">
      <c r="A24" s="238" t="s">
        <v>40</v>
      </c>
      <c r="B24" s="238"/>
      <c r="C24" s="238"/>
      <c r="D24" s="68"/>
      <c r="E24" s="68"/>
      <c r="F24" s="68"/>
      <c r="G24" s="77"/>
      <c r="H24" s="67"/>
    </row>
    <row r="25" spans="1:9" ht="15.75" thickBot="1" x14ac:dyDescent="0.3">
      <c r="A25" s="67">
        <v>1</v>
      </c>
      <c r="B25" s="68" t="s">
        <v>41</v>
      </c>
      <c r="C25" s="68" t="s">
        <v>42</v>
      </c>
      <c r="D25" s="68" t="s">
        <v>10</v>
      </c>
      <c r="E25" s="68">
        <v>1000</v>
      </c>
      <c r="F25" s="69" t="s">
        <v>12</v>
      </c>
      <c r="G25" s="67"/>
      <c r="H25" s="70">
        <f>(I25*$I$7)+I25</f>
        <v>0.40279999999999999</v>
      </c>
      <c r="I25" s="37">
        <v>0.38</v>
      </c>
    </row>
    <row r="26" spans="1:9" ht="15.75" thickBot="1" x14ac:dyDescent="0.3">
      <c r="A26" s="67">
        <v>2</v>
      </c>
      <c r="B26" s="68" t="s">
        <v>43</v>
      </c>
      <c r="C26" s="68" t="s">
        <v>42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0.42400000000000004</v>
      </c>
      <c r="I26" s="36">
        <v>0.4</v>
      </c>
    </row>
    <row r="27" spans="1:9" ht="15.75" thickBot="1" x14ac:dyDescent="0.3">
      <c r="A27" s="67">
        <v>3</v>
      </c>
      <c r="B27" s="68" t="s">
        <v>44</v>
      </c>
      <c r="C27" s="68" t="s">
        <v>42</v>
      </c>
      <c r="D27" s="68" t="s">
        <v>18</v>
      </c>
      <c r="E27" s="68">
        <v>1000</v>
      </c>
      <c r="F27" s="69" t="s">
        <v>12</v>
      </c>
      <c r="G27" s="67"/>
      <c r="H27" s="70">
        <f t="shared" si="2"/>
        <v>0.44519999999999998</v>
      </c>
      <c r="I27" s="36">
        <v>0.42</v>
      </c>
    </row>
    <row r="28" spans="1:9" x14ac:dyDescent="0.25">
      <c r="A28" s="76"/>
      <c r="B28" s="76"/>
      <c r="C28" s="76"/>
      <c r="D28" s="76"/>
      <c r="E28" s="76"/>
      <c r="F28" s="76"/>
      <c r="G28" s="76"/>
      <c r="H28" s="76"/>
    </row>
    <row r="29" spans="1:9" ht="15.75" thickBot="1" x14ac:dyDescent="0.3">
      <c r="A29" s="250" t="s">
        <v>45</v>
      </c>
      <c r="B29" s="250"/>
      <c r="C29" s="250"/>
      <c r="D29" s="78"/>
      <c r="E29" s="255"/>
      <c r="F29" s="255"/>
      <c r="G29" s="255"/>
      <c r="H29" s="255"/>
    </row>
    <row r="30" spans="1:9" ht="15.75" thickBot="1" x14ac:dyDescent="0.3">
      <c r="A30" s="67">
        <v>1586</v>
      </c>
      <c r="B30" s="68" t="s">
        <v>117</v>
      </c>
      <c r="C30" s="68" t="s">
        <v>47</v>
      </c>
      <c r="D30" s="68"/>
      <c r="E30" s="68">
        <v>12</v>
      </c>
      <c r="F30" s="69" t="s">
        <v>12</v>
      </c>
      <c r="G30" s="67" t="s">
        <v>49</v>
      </c>
      <c r="H30" s="70">
        <f>(I30*$I$7)+I30</f>
        <v>52.47</v>
      </c>
      <c r="I30" s="41">
        <v>49.5</v>
      </c>
    </row>
    <row r="31" spans="1:9" ht="15.75" thickBot="1" x14ac:dyDescent="0.3">
      <c r="A31" s="67">
        <v>1797</v>
      </c>
      <c r="B31" s="68" t="s">
        <v>114</v>
      </c>
      <c r="C31" s="68" t="s">
        <v>47</v>
      </c>
      <c r="D31" s="68"/>
      <c r="E31" s="68">
        <v>12</v>
      </c>
      <c r="F31" s="69" t="s">
        <v>12</v>
      </c>
      <c r="G31" s="67"/>
      <c r="H31" s="70">
        <f t="shared" ref="H31:H33" si="3">(I31*$I$7)+I31</f>
        <v>51.41</v>
      </c>
      <c r="I31" s="39">
        <v>48.5</v>
      </c>
    </row>
    <row r="32" spans="1:9" ht="15.75" thickBot="1" x14ac:dyDescent="0.3">
      <c r="A32" s="67">
        <v>1588</v>
      </c>
      <c r="B32" s="68" t="s">
        <v>50</v>
      </c>
      <c r="C32" s="68" t="s">
        <v>100</v>
      </c>
      <c r="D32" s="68"/>
      <c r="E32" s="68">
        <v>150</v>
      </c>
      <c r="F32" s="69" t="s">
        <v>12</v>
      </c>
      <c r="G32" s="67"/>
      <c r="H32" s="70">
        <f t="shared" si="3"/>
        <v>5.4908000000000001</v>
      </c>
      <c r="I32" s="6">
        <v>5.18</v>
      </c>
    </row>
    <row r="33" spans="1:9" ht="15.75" thickBot="1" x14ac:dyDescent="0.3">
      <c r="A33" s="67">
        <v>1587</v>
      </c>
      <c r="B33" s="68" t="s">
        <v>50</v>
      </c>
      <c r="C33" s="68" t="s">
        <v>101</v>
      </c>
      <c r="D33" s="68"/>
      <c r="E33" s="68">
        <v>300</v>
      </c>
      <c r="F33" s="69" t="s">
        <v>12</v>
      </c>
      <c r="G33" s="67"/>
      <c r="H33" s="70">
        <f t="shared" si="3"/>
        <v>2.968</v>
      </c>
      <c r="I33" s="6">
        <v>2.8</v>
      </c>
    </row>
    <row r="34" spans="1:9" x14ac:dyDescent="0.25">
      <c r="A34" s="76"/>
      <c r="B34" s="76"/>
      <c r="C34" s="76"/>
      <c r="D34" s="76"/>
      <c r="E34" s="76"/>
      <c r="F34" s="76"/>
      <c r="G34" s="76"/>
      <c r="H34" s="76"/>
    </row>
    <row r="35" spans="1:9" x14ac:dyDescent="0.25">
      <c r="A35" s="79" t="s">
        <v>52</v>
      </c>
      <c r="B35" s="79"/>
      <c r="C35" s="79"/>
      <c r="D35" s="79"/>
      <c r="E35" s="74"/>
      <c r="F35" s="74"/>
      <c r="G35" s="74"/>
      <c r="H35" s="74"/>
    </row>
    <row r="36" spans="1:9" ht="15.75" thickBot="1" x14ac:dyDescent="0.3">
      <c r="A36" s="72">
        <v>163</v>
      </c>
      <c r="B36" s="72" t="s">
        <v>55</v>
      </c>
      <c r="C36" s="72" t="s">
        <v>56</v>
      </c>
      <c r="D36" s="72" t="s">
        <v>57</v>
      </c>
      <c r="E36" s="72" t="s">
        <v>75</v>
      </c>
      <c r="F36" s="73" t="s">
        <v>12</v>
      </c>
      <c r="G36" s="73"/>
      <c r="H36" s="70">
        <f>(I36*$I$7)+I36</f>
        <v>4.7275999999999998</v>
      </c>
      <c r="I36" s="22">
        <v>4.46</v>
      </c>
    </row>
    <row r="37" spans="1:9" ht="15.75" thickBot="1" x14ac:dyDescent="0.3">
      <c r="A37" s="72">
        <v>480</v>
      </c>
      <c r="B37" s="72" t="s">
        <v>55</v>
      </c>
      <c r="C37" s="72" t="s">
        <v>59</v>
      </c>
      <c r="D37" s="72" t="s">
        <v>57</v>
      </c>
      <c r="E37" s="72" t="s">
        <v>75</v>
      </c>
      <c r="F37" s="73" t="s">
        <v>12</v>
      </c>
      <c r="G37" s="73"/>
      <c r="H37" s="70">
        <f t="shared" ref="H37:H45" si="4">(I37*$I$7)+I37</f>
        <v>5.8405999999999993</v>
      </c>
      <c r="I37" s="22">
        <v>5.51</v>
      </c>
    </row>
    <row r="38" spans="1:9" ht="15.75" thickBot="1" x14ac:dyDescent="0.3">
      <c r="A38" s="72">
        <v>164</v>
      </c>
      <c r="B38" s="72" t="s">
        <v>55</v>
      </c>
      <c r="C38" s="72" t="s">
        <v>60</v>
      </c>
      <c r="D38" s="72" t="s">
        <v>57</v>
      </c>
      <c r="E38" s="72" t="s">
        <v>61</v>
      </c>
      <c r="F38" s="73" t="s">
        <v>12</v>
      </c>
      <c r="G38" s="73"/>
      <c r="H38" s="70">
        <f t="shared" si="4"/>
        <v>6.6992000000000003</v>
      </c>
      <c r="I38" s="22">
        <v>6.32</v>
      </c>
    </row>
    <row r="39" spans="1:9" ht="15.75" thickBot="1" x14ac:dyDescent="0.3">
      <c r="A39" s="72">
        <v>165</v>
      </c>
      <c r="B39" s="72" t="s">
        <v>55</v>
      </c>
      <c r="C39" s="72" t="s">
        <v>62</v>
      </c>
      <c r="D39" s="72" t="s">
        <v>57</v>
      </c>
      <c r="E39" s="72" t="s">
        <v>72</v>
      </c>
      <c r="F39" s="73" t="s">
        <v>12</v>
      </c>
      <c r="G39" s="73"/>
      <c r="H39" s="70">
        <f t="shared" si="4"/>
        <v>8.628400000000001</v>
      </c>
      <c r="I39" s="22">
        <v>8.14</v>
      </c>
    </row>
    <row r="40" spans="1:9" ht="15.75" thickBot="1" x14ac:dyDescent="0.3">
      <c r="A40" s="72">
        <v>166</v>
      </c>
      <c r="B40" s="72" t="s">
        <v>55</v>
      </c>
      <c r="C40" s="72" t="s">
        <v>64</v>
      </c>
      <c r="D40" s="72" t="s">
        <v>57</v>
      </c>
      <c r="E40" s="72" t="s">
        <v>65</v>
      </c>
      <c r="F40" s="73" t="s">
        <v>12</v>
      </c>
      <c r="G40" s="73"/>
      <c r="H40" s="70">
        <f t="shared" si="4"/>
        <v>12.7836</v>
      </c>
      <c r="I40" s="22">
        <v>12.06</v>
      </c>
    </row>
    <row r="41" spans="1:9" ht="15.75" thickBot="1" x14ac:dyDescent="0.3">
      <c r="A41" s="72">
        <v>171</v>
      </c>
      <c r="B41" s="72" t="s">
        <v>55</v>
      </c>
      <c r="C41" s="72" t="s">
        <v>66</v>
      </c>
      <c r="D41" s="72" t="s">
        <v>57</v>
      </c>
      <c r="E41" s="72" t="s">
        <v>67</v>
      </c>
      <c r="F41" s="73" t="s">
        <v>12</v>
      </c>
      <c r="G41" s="73"/>
      <c r="H41" s="70">
        <f t="shared" si="4"/>
        <v>6.4130000000000003</v>
      </c>
      <c r="I41" s="22">
        <v>6.05</v>
      </c>
    </row>
    <row r="42" spans="1:9" ht="15.75" thickBot="1" x14ac:dyDescent="0.3">
      <c r="A42" s="72">
        <v>478</v>
      </c>
      <c r="B42" s="72" t="s">
        <v>55</v>
      </c>
      <c r="C42" s="72" t="s">
        <v>68</v>
      </c>
      <c r="D42" s="72" t="s">
        <v>57</v>
      </c>
      <c r="E42" s="72" t="s">
        <v>61</v>
      </c>
      <c r="F42" s="73" t="s">
        <v>12</v>
      </c>
      <c r="G42" s="73"/>
      <c r="H42" s="70">
        <f t="shared" si="4"/>
        <v>8.0771999999999995</v>
      </c>
      <c r="I42" s="22">
        <v>7.62</v>
      </c>
    </row>
    <row r="43" spans="1:9" ht="15.75" thickBot="1" x14ac:dyDescent="0.3">
      <c r="A43" s="72">
        <v>172</v>
      </c>
      <c r="B43" s="72" t="s">
        <v>55</v>
      </c>
      <c r="C43" s="72" t="s">
        <v>69</v>
      </c>
      <c r="D43" s="72" t="s">
        <v>57</v>
      </c>
      <c r="E43" s="72" t="s">
        <v>70</v>
      </c>
      <c r="F43" s="73" t="s">
        <v>12</v>
      </c>
      <c r="G43" s="73"/>
      <c r="H43" s="70">
        <f t="shared" si="4"/>
        <v>9.4445999999999994</v>
      </c>
      <c r="I43" s="22">
        <v>8.91</v>
      </c>
    </row>
    <row r="44" spans="1:9" ht="15.75" thickBot="1" x14ac:dyDescent="0.3">
      <c r="A44" s="72">
        <v>173</v>
      </c>
      <c r="B44" s="72" t="s">
        <v>55</v>
      </c>
      <c r="C44" s="72" t="s">
        <v>71</v>
      </c>
      <c r="D44" s="72" t="s">
        <v>57</v>
      </c>
      <c r="E44" s="72" t="s">
        <v>78</v>
      </c>
      <c r="F44" s="73" t="s">
        <v>12</v>
      </c>
      <c r="G44" s="73"/>
      <c r="H44" s="70">
        <f t="shared" si="4"/>
        <v>12.264200000000001</v>
      </c>
      <c r="I44" s="27">
        <v>11.57</v>
      </c>
    </row>
    <row r="45" spans="1:9" ht="15.75" thickBot="1" x14ac:dyDescent="0.3">
      <c r="A45" s="72">
        <v>174</v>
      </c>
      <c r="B45" s="72" t="s">
        <v>55</v>
      </c>
      <c r="C45" s="72" t="s">
        <v>73</v>
      </c>
      <c r="D45" s="72" t="s">
        <v>57</v>
      </c>
      <c r="E45" s="72" t="s">
        <v>74</v>
      </c>
      <c r="F45" s="73" t="s">
        <v>12</v>
      </c>
      <c r="G45" s="73"/>
      <c r="H45" s="70">
        <f t="shared" si="4"/>
        <v>17.5642</v>
      </c>
      <c r="I45" s="31">
        <v>16.57</v>
      </c>
    </row>
    <row r="46" spans="1:9" x14ac:dyDescent="0.25">
      <c r="A46" s="76"/>
      <c r="B46" s="76"/>
      <c r="C46" s="76"/>
      <c r="D46" s="76"/>
      <c r="E46" s="76"/>
      <c r="F46" s="76"/>
      <c r="G46" s="76"/>
      <c r="H46" s="76"/>
    </row>
    <row r="47" spans="1:9" ht="15.75" thickBot="1" x14ac:dyDescent="0.3">
      <c r="A47" s="253" t="s">
        <v>80</v>
      </c>
      <c r="B47" s="253"/>
      <c r="C47" s="253"/>
      <c r="D47" s="253"/>
      <c r="E47" s="74"/>
      <c r="F47" s="74"/>
      <c r="G47" s="74"/>
      <c r="H47" s="74"/>
      <c r="I47" s="58"/>
    </row>
    <row r="48" spans="1:9" ht="15.75" thickBot="1" x14ac:dyDescent="0.3">
      <c r="A48" s="72">
        <v>414</v>
      </c>
      <c r="B48" s="72" t="s">
        <v>55</v>
      </c>
      <c r="C48" s="72" t="s">
        <v>56</v>
      </c>
      <c r="D48" s="72" t="s">
        <v>57</v>
      </c>
      <c r="E48" s="72" t="s">
        <v>75</v>
      </c>
      <c r="F48" s="73" t="s">
        <v>12</v>
      </c>
      <c r="G48" s="73"/>
      <c r="H48" s="70">
        <f t="shared" ref="H48:H57" si="5">(I48*$I$7)+I48</f>
        <v>4.5792000000000002</v>
      </c>
      <c r="I48" s="22">
        <v>4.32</v>
      </c>
    </row>
    <row r="49" spans="1:9" ht="15.75" thickBot="1" x14ac:dyDescent="0.3">
      <c r="A49" s="72">
        <v>476</v>
      </c>
      <c r="B49" s="72" t="s">
        <v>55</v>
      </c>
      <c r="C49" s="72" t="s">
        <v>59</v>
      </c>
      <c r="D49" s="72" t="s">
        <v>57</v>
      </c>
      <c r="E49" s="72" t="s">
        <v>103</v>
      </c>
      <c r="F49" s="73" t="s">
        <v>12</v>
      </c>
      <c r="G49" s="73"/>
      <c r="H49" s="70">
        <f t="shared" si="5"/>
        <v>5.6604000000000001</v>
      </c>
      <c r="I49" s="22">
        <v>5.34</v>
      </c>
    </row>
    <row r="50" spans="1:9" ht="15.75" thickBot="1" x14ac:dyDescent="0.3">
      <c r="A50" s="72">
        <v>419</v>
      </c>
      <c r="B50" s="72" t="s">
        <v>55</v>
      </c>
      <c r="C50" s="72" t="s">
        <v>60</v>
      </c>
      <c r="D50" s="72" t="s">
        <v>57</v>
      </c>
      <c r="E50" s="72" t="s">
        <v>72</v>
      </c>
      <c r="F50" s="73" t="s">
        <v>12</v>
      </c>
      <c r="G50" s="73"/>
      <c r="H50" s="70">
        <f t="shared" si="5"/>
        <v>6.5190000000000001</v>
      </c>
      <c r="I50" s="22">
        <v>6.15</v>
      </c>
    </row>
    <row r="51" spans="1:9" ht="15.75" thickBot="1" x14ac:dyDescent="0.3">
      <c r="A51" s="72">
        <v>423</v>
      </c>
      <c r="B51" s="72" t="s">
        <v>55</v>
      </c>
      <c r="C51" s="72" t="s">
        <v>62</v>
      </c>
      <c r="D51" s="72" t="s">
        <v>57</v>
      </c>
      <c r="E51" s="72" t="s">
        <v>82</v>
      </c>
      <c r="F51" s="73" t="s">
        <v>12</v>
      </c>
      <c r="G51" s="73"/>
      <c r="H51" s="70">
        <f t="shared" si="5"/>
        <v>8.3740000000000006</v>
      </c>
      <c r="I51" s="22">
        <v>7.9</v>
      </c>
    </row>
    <row r="52" spans="1:9" ht="15.75" thickBot="1" x14ac:dyDescent="0.3">
      <c r="A52" s="72">
        <v>427</v>
      </c>
      <c r="B52" s="72" t="s">
        <v>55</v>
      </c>
      <c r="C52" s="72" t="s">
        <v>64</v>
      </c>
      <c r="D52" s="72" t="s">
        <v>57</v>
      </c>
      <c r="E52" s="72" t="s">
        <v>83</v>
      </c>
      <c r="F52" s="73" t="s">
        <v>12</v>
      </c>
      <c r="G52" s="73"/>
      <c r="H52" s="70">
        <f t="shared" si="5"/>
        <v>12.401999999999999</v>
      </c>
      <c r="I52" s="22">
        <v>11.7</v>
      </c>
    </row>
    <row r="53" spans="1:9" ht="15.75" thickBot="1" x14ac:dyDescent="0.3">
      <c r="A53" s="72">
        <v>417</v>
      </c>
      <c r="B53" s="72" t="s">
        <v>55</v>
      </c>
      <c r="C53" s="72" t="s">
        <v>66</v>
      </c>
      <c r="D53" s="72" t="s">
        <v>57</v>
      </c>
      <c r="E53" s="72" t="s">
        <v>84</v>
      </c>
      <c r="F53" s="73" t="s">
        <v>12</v>
      </c>
      <c r="G53" s="73"/>
      <c r="H53" s="70">
        <f t="shared" si="5"/>
        <v>6.2009999999999996</v>
      </c>
      <c r="I53" s="22">
        <v>5.85</v>
      </c>
    </row>
    <row r="54" spans="1:9" ht="15.75" thickBot="1" x14ac:dyDescent="0.3">
      <c r="A54" s="72">
        <v>474</v>
      </c>
      <c r="B54" s="72" t="s">
        <v>55</v>
      </c>
      <c r="C54" s="72" t="s">
        <v>68</v>
      </c>
      <c r="D54" s="72" t="s">
        <v>57</v>
      </c>
      <c r="E54" s="72" t="s">
        <v>72</v>
      </c>
      <c r="F54" s="73" t="s">
        <v>12</v>
      </c>
      <c r="G54" s="73"/>
      <c r="H54" s="70">
        <f t="shared" si="5"/>
        <v>7.8333999999999993</v>
      </c>
      <c r="I54" s="22">
        <v>7.39</v>
      </c>
    </row>
    <row r="55" spans="1:9" ht="15.75" thickBot="1" x14ac:dyDescent="0.3">
      <c r="A55" s="72">
        <v>421</v>
      </c>
      <c r="B55" s="72" t="s">
        <v>55</v>
      </c>
      <c r="C55" s="72" t="s">
        <v>69</v>
      </c>
      <c r="D55" s="72" t="s">
        <v>57</v>
      </c>
      <c r="E55" s="72" t="s">
        <v>78</v>
      </c>
      <c r="F55" s="73" t="s">
        <v>12</v>
      </c>
      <c r="G55" s="73"/>
      <c r="H55" s="70">
        <f t="shared" si="5"/>
        <v>9.1690000000000005</v>
      </c>
      <c r="I55" s="22">
        <v>8.65</v>
      </c>
    </row>
    <row r="56" spans="1:9" ht="15.75" thickBot="1" x14ac:dyDescent="0.3">
      <c r="A56" s="72">
        <v>425</v>
      </c>
      <c r="B56" s="72" t="s">
        <v>55</v>
      </c>
      <c r="C56" s="72" t="s">
        <v>71</v>
      </c>
      <c r="D56" s="72" t="s">
        <v>57</v>
      </c>
      <c r="E56" s="72" t="s">
        <v>85</v>
      </c>
      <c r="F56" s="73" t="s">
        <v>12</v>
      </c>
      <c r="G56" s="73"/>
      <c r="H56" s="70">
        <f t="shared" si="5"/>
        <v>11.8932</v>
      </c>
      <c r="I56" s="27">
        <v>11.22</v>
      </c>
    </row>
    <row r="57" spans="1:9" ht="15.75" thickBot="1" x14ac:dyDescent="0.3">
      <c r="A57" s="72">
        <v>429</v>
      </c>
      <c r="B57" s="72" t="s">
        <v>55</v>
      </c>
      <c r="C57" s="72" t="s">
        <v>73</v>
      </c>
      <c r="D57" s="72" t="s">
        <v>57</v>
      </c>
      <c r="E57" s="72" t="s">
        <v>86</v>
      </c>
      <c r="F57" s="73" t="s">
        <v>12</v>
      </c>
      <c r="G57" s="73"/>
      <c r="H57" s="70">
        <f t="shared" si="5"/>
        <v>17.023599999999998</v>
      </c>
      <c r="I57" s="31">
        <v>16.059999999999999</v>
      </c>
    </row>
    <row r="59" spans="1:9" x14ac:dyDescent="0.25">
      <c r="A59" s="205" t="s">
        <v>93</v>
      </c>
      <c r="B59" s="205"/>
      <c r="F59" s="34"/>
      <c r="G59" s="34"/>
      <c r="H59" s="34"/>
    </row>
    <row r="60" spans="1:9" x14ac:dyDescent="0.25">
      <c r="A60" s="35" t="s">
        <v>94</v>
      </c>
      <c r="F60" s="63" t="s">
        <v>112</v>
      </c>
      <c r="H60" s="63"/>
    </row>
  </sheetData>
  <mergeCells count="16">
    <mergeCell ref="A59:B59"/>
    <mergeCell ref="A16:C16"/>
    <mergeCell ref="D16:H16"/>
    <mergeCell ref="A24:C24"/>
    <mergeCell ref="A29:C29"/>
    <mergeCell ref="E29:H29"/>
    <mergeCell ref="A47:D47"/>
    <mergeCell ref="A1:I4"/>
    <mergeCell ref="A6:C6"/>
    <mergeCell ref="A7:A8"/>
    <mergeCell ref="B7:B8"/>
    <mergeCell ref="C7:C8"/>
    <mergeCell ref="D7:D8"/>
    <mergeCell ref="E7:E8"/>
    <mergeCell ref="H7:H8"/>
    <mergeCell ref="I7:I8"/>
  </mergeCells>
  <pageMargins left="0.511811024" right="0.511811024" top="0.78740157499999996" bottom="0.78740157499999996" header="0.31496062000000002" footer="0.31496062000000002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8"/>
  <sheetViews>
    <sheetView topLeftCell="A25" workbookViewId="0">
      <selection activeCell="J37" sqref="J37"/>
    </sheetView>
  </sheetViews>
  <sheetFormatPr defaultRowHeight="15" x14ac:dyDescent="0.25"/>
  <cols>
    <col min="1" max="1" width="4.5703125" bestFit="1" customWidth="1"/>
    <col min="2" max="2" width="35.5703125" bestFit="1" customWidth="1"/>
    <col min="3" max="3" width="20" bestFit="1" customWidth="1"/>
    <col min="4" max="4" width="6.140625" bestFit="1" customWidth="1"/>
    <col min="6" max="6" width="9" bestFit="1" customWidth="1"/>
    <col min="7" max="7" width="7.42578125" bestFit="1" customWidth="1"/>
    <col min="8" max="8" width="8.28515625" bestFit="1" customWidth="1"/>
    <col min="9" max="9" width="7.140625" bestFit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6" spans="1:9" ht="15.75" thickBot="1" x14ac:dyDescent="0.3">
      <c r="A6" s="225" t="s">
        <v>1</v>
      </c>
      <c r="B6" s="225"/>
      <c r="C6" s="225"/>
      <c r="D6" s="65"/>
      <c r="E6" s="65"/>
      <c r="F6" s="65"/>
      <c r="G6" s="65"/>
      <c r="H6" s="66"/>
      <c r="I6" s="1"/>
    </row>
    <row r="7" spans="1:9" x14ac:dyDescent="0.25">
      <c r="A7" s="215" t="s">
        <v>2</v>
      </c>
      <c r="B7" s="215" t="s">
        <v>3</v>
      </c>
      <c r="C7" s="215" t="s">
        <v>4</v>
      </c>
      <c r="D7" s="228"/>
      <c r="E7" s="215" t="s">
        <v>5</v>
      </c>
      <c r="F7" s="215" t="s">
        <v>6</v>
      </c>
      <c r="G7" s="215" t="s">
        <v>104</v>
      </c>
      <c r="H7" s="217" t="s">
        <v>7</v>
      </c>
      <c r="I7" s="222"/>
    </row>
    <row r="8" spans="1:9" ht="15.75" thickBot="1" x14ac:dyDescent="0.3">
      <c r="A8" s="215"/>
      <c r="B8" s="215"/>
      <c r="C8" s="215"/>
      <c r="D8" s="228"/>
      <c r="E8" s="215"/>
      <c r="F8" s="215"/>
      <c r="G8" s="215"/>
      <c r="H8" s="217"/>
      <c r="I8" s="219"/>
    </row>
    <row r="9" spans="1:9" ht="15.75" thickBot="1" x14ac:dyDescent="0.3">
      <c r="A9" s="68">
        <v>51</v>
      </c>
      <c r="B9" s="68" t="s">
        <v>8</v>
      </c>
      <c r="C9" s="68" t="s">
        <v>107</v>
      </c>
      <c r="D9" s="68" t="s">
        <v>10</v>
      </c>
      <c r="E9" s="68">
        <v>40</v>
      </c>
      <c r="F9" s="80" t="s">
        <v>26</v>
      </c>
      <c r="G9" s="68" t="s">
        <v>27</v>
      </c>
      <c r="H9" s="70">
        <f t="shared" ref="H9:H11" si="0">(I9*$I$7)+I9</f>
        <v>14.46</v>
      </c>
      <c r="I9" s="6">
        <v>14.46</v>
      </c>
    </row>
    <row r="10" spans="1:9" ht="15.75" thickBot="1" x14ac:dyDescent="0.3">
      <c r="A10" s="68">
        <v>339</v>
      </c>
      <c r="B10" s="68" t="s">
        <v>8</v>
      </c>
      <c r="C10" s="68" t="s">
        <v>107</v>
      </c>
      <c r="D10" s="68" t="s">
        <v>15</v>
      </c>
      <c r="E10" s="68">
        <v>32</v>
      </c>
      <c r="F10" s="80" t="s">
        <v>26</v>
      </c>
      <c r="G10" s="68" t="s">
        <v>27</v>
      </c>
      <c r="H10" s="70">
        <f t="shared" si="0"/>
        <v>16.579999999999998</v>
      </c>
      <c r="I10" s="6">
        <v>16.579999999999998</v>
      </c>
    </row>
    <row r="11" spans="1:9" ht="15.75" thickBot="1" x14ac:dyDescent="0.3">
      <c r="A11" s="68">
        <v>349</v>
      </c>
      <c r="B11" s="68" t="s">
        <v>8</v>
      </c>
      <c r="C11" s="68" t="s">
        <v>107</v>
      </c>
      <c r="D11" s="68" t="s">
        <v>18</v>
      </c>
      <c r="E11" s="68">
        <v>32</v>
      </c>
      <c r="F11" s="80" t="s">
        <v>26</v>
      </c>
      <c r="G11" s="68" t="s">
        <v>27</v>
      </c>
      <c r="H11" s="70">
        <f t="shared" si="0"/>
        <v>19.22</v>
      </c>
      <c r="I11" s="6">
        <v>19.22</v>
      </c>
    </row>
    <row r="12" spans="1:9" x14ac:dyDescent="0.25">
      <c r="A12" s="76"/>
      <c r="B12" s="76"/>
      <c r="C12" s="76"/>
      <c r="D12" s="76"/>
      <c r="E12" s="76"/>
      <c r="F12" s="76"/>
      <c r="G12" s="76"/>
      <c r="H12" s="76"/>
    </row>
    <row r="13" spans="1:9" ht="15.75" thickBot="1" x14ac:dyDescent="0.3">
      <c r="A13" s="243" t="s">
        <v>28</v>
      </c>
      <c r="B13" s="243"/>
      <c r="C13" s="243"/>
      <c r="D13" s="76"/>
      <c r="E13" s="76"/>
      <c r="F13" s="76"/>
      <c r="G13" s="76"/>
      <c r="H13" s="76"/>
    </row>
    <row r="14" spans="1:9" ht="15.75" thickBot="1" x14ac:dyDescent="0.3">
      <c r="A14" s="67">
        <v>132</v>
      </c>
      <c r="B14" s="68" t="s">
        <v>29</v>
      </c>
      <c r="C14" s="68" t="s">
        <v>30</v>
      </c>
      <c r="D14" s="68" t="s">
        <v>10</v>
      </c>
      <c r="E14" s="68">
        <v>20</v>
      </c>
      <c r="F14" s="81" t="s">
        <v>26</v>
      </c>
      <c r="G14" s="67" t="s">
        <v>37</v>
      </c>
      <c r="H14" s="70">
        <f t="shared" ref="H14:H16" si="1">(I14*$I$7)+I14</f>
        <v>29.67</v>
      </c>
      <c r="I14" s="59">
        <v>29.67</v>
      </c>
    </row>
    <row r="15" spans="1:9" ht="15.75" thickBot="1" x14ac:dyDescent="0.3">
      <c r="A15" s="67">
        <v>294</v>
      </c>
      <c r="B15" s="68" t="s">
        <v>29</v>
      </c>
      <c r="C15" s="68" t="s">
        <v>30</v>
      </c>
      <c r="D15" s="68" t="s">
        <v>15</v>
      </c>
      <c r="E15" s="68">
        <v>20</v>
      </c>
      <c r="F15" s="81" t="s">
        <v>26</v>
      </c>
      <c r="G15" s="67" t="s">
        <v>38</v>
      </c>
      <c r="H15" s="70">
        <f t="shared" si="1"/>
        <v>30.58</v>
      </c>
      <c r="I15" s="6">
        <v>30.58</v>
      </c>
    </row>
    <row r="16" spans="1:9" ht="15.75" thickBot="1" x14ac:dyDescent="0.3">
      <c r="A16" s="67">
        <v>300</v>
      </c>
      <c r="B16" s="68" t="s">
        <v>29</v>
      </c>
      <c r="C16" s="68" t="s">
        <v>30</v>
      </c>
      <c r="D16" s="68" t="s">
        <v>18</v>
      </c>
      <c r="E16" s="68">
        <v>20</v>
      </c>
      <c r="F16" s="81" t="s">
        <v>26</v>
      </c>
      <c r="G16" s="67" t="s">
        <v>39</v>
      </c>
      <c r="H16" s="70">
        <f t="shared" si="1"/>
        <v>32.94</v>
      </c>
      <c r="I16" s="6">
        <v>32.94</v>
      </c>
    </row>
    <row r="17" spans="1:9" x14ac:dyDescent="0.25">
      <c r="A17" s="76"/>
      <c r="B17" s="76"/>
      <c r="C17" s="76"/>
      <c r="D17" s="76"/>
      <c r="E17" s="76"/>
      <c r="F17" s="76"/>
      <c r="G17" s="76"/>
      <c r="H17" s="76"/>
    </row>
    <row r="18" spans="1:9" ht="15.75" thickBot="1" x14ac:dyDescent="0.3">
      <c r="A18" s="238" t="s">
        <v>40</v>
      </c>
      <c r="B18" s="238"/>
      <c r="C18" s="238"/>
      <c r="D18" s="76"/>
      <c r="E18" s="76"/>
      <c r="F18" s="76"/>
      <c r="G18" s="76"/>
      <c r="H18" s="76"/>
    </row>
    <row r="19" spans="1:9" ht="15.75" thickBot="1" x14ac:dyDescent="0.3">
      <c r="A19" s="67">
        <v>152</v>
      </c>
      <c r="B19" s="68" t="s">
        <v>41</v>
      </c>
      <c r="C19" s="68" t="s">
        <v>42</v>
      </c>
      <c r="D19" s="68" t="s">
        <v>10</v>
      </c>
      <c r="E19" s="68">
        <v>1000</v>
      </c>
      <c r="F19" s="81" t="s">
        <v>26</v>
      </c>
      <c r="G19" s="67"/>
      <c r="H19" s="70">
        <f t="shared" ref="H19:H21" si="2">(I19*$I$7)+I19</f>
        <v>0.44</v>
      </c>
      <c r="I19" s="37">
        <v>0.44</v>
      </c>
    </row>
    <row r="20" spans="1:9" ht="15.75" thickBot="1" x14ac:dyDescent="0.3">
      <c r="A20" s="67">
        <v>153</v>
      </c>
      <c r="B20" s="68" t="s">
        <v>43</v>
      </c>
      <c r="C20" s="68" t="s">
        <v>42</v>
      </c>
      <c r="D20" s="68" t="s">
        <v>15</v>
      </c>
      <c r="E20" s="68">
        <v>1000</v>
      </c>
      <c r="F20" s="81" t="s">
        <v>26</v>
      </c>
      <c r="G20" s="67"/>
      <c r="H20" s="70">
        <f t="shared" si="2"/>
        <v>0.47</v>
      </c>
      <c r="I20" s="36">
        <v>0.47</v>
      </c>
    </row>
    <row r="21" spans="1:9" ht="15.75" thickBot="1" x14ac:dyDescent="0.3">
      <c r="A21" s="67">
        <v>154</v>
      </c>
      <c r="B21" s="68" t="s">
        <v>44</v>
      </c>
      <c r="C21" s="68" t="s">
        <v>42</v>
      </c>
      <c r="D21" s="68" t="s">
        <v>18</v>
      </c>
      <c r="E21" s="68">
        <v>1000</v>
      </c>
      <c r="F21" s="81" t="s">
        <v>26</v>
      </c>
      <c r="G21" s="67"/>
      <c r="H21" s="70">
        <f t="shared" si="2"/>
        <v>0.49</v>
      </c>
      <c r="I21" s="36">
        <v>0.49</v>
      </c>
    </row>
    <row r="22" spans="1:9" x14ac:dyDescent="0.25">
      <c r="A22" s="76"/>
      <c r="B22" s="76"/>
      <c r="C22" s="76"/>
      <c r="D22" s="76"/>
      <c r="E22" s="76"/>
      <c r="F22" s="76"/>
      <c r="G22" s="76"/>
      <c r="H22" s="76"/>
    </row>
    <row r="23" spans="1:9" ht="15.75" thickBot="1" x14ac:dyDescent="0.3">
      <c r="A23" s="250" t="s">
        <v>45</v>
      </c>
      <c r="B23" s="250"/>
      <c r="C23" s="250"/>
      <c r="D23" s="76"/>
      <c r="E23" s="76"/>
      <c r="F23" s="76"/>
      <c r="G23" s="76"/>
      <c r="H23" s="76"/>
    </row>
    <row r="24" spans="1:9" ht="15.75" thickBot="1" x14ac:dyDescent="0.3">
      <c r="A24" s="67">
        <v>155</v>
      </c>
      <c r="B24" s="68" t="s">
        <v>117</v>
      </c>
      <c r="C24" s="68" t="s">
        <v>47</v>
      </c>
      <c r="D24" s="68"/>
      <c r="E24" s="68">
        <v>12</v>
      </c>
      <c r="F24" s="81" t="s">
        <v>26</v>
      </c>
      <c r="G24" s="67" t="s">
        <v>119</v>
      </c>
      <c r="H24" s="70">
        <f t="shared" ref="H24:H25" si="3">(I24*$I$7)+I24</f>
        <v>71</v>
      </c>
      <c r="I24" s="59">
        <v>71</v>
      </c>
    </row>
    <row r="25" spans="1:9" ht="15.75" thickBot="1" x14ac:dyDescent="0.3">
      <c r="A25" s="67">
        <v>158</v>
      </c>
      <c r="B25" s="68" t="s">
        <v>50</v>
      </c>
      <c r="C25" s="68" t="s">
        <v>100</v>
      </c>
      <c r="D25" s="68"/>
      <c r="E25" s="68">
        <v>150</v>
      </c>
      <c r="F25" s="81" t="s">
        <v>26</v>
      </c>
      <c r="G25" s="67" t="s">
        <v>51</v>
      </c>
      <c r="H25" s="70">
        <f t="shared" si="3"/>
        <v>6.98</v>
      </c>
      <c r="I25" s="6">
        <v>6.98</v>
      </c>
    </row>
    <row r="27" spans="1:9" x14ac:dyDescent="0.25">
      <c r="A27" s="205" t="s">
        <v>93</v>
      </c>
      <c r="B27" s="205"/>
      <c r="F27" s="34"/>
      <c r="G27" s="34"/>
      <c r="H27" s="34"/>
    </row>
    <row r="28" spans="1:9" x14ac:dyDescent="0.25">
      <c r="A28" s="35" t="s">
        <v>94</v>
      </c>
      <c r="F28" s="63" t="s">
        <v>112</v>
      </c>
      <c r="H28" s="63"/>
    </row>
  </sheetData>
  <mergeCells count="15">
    <mergeCell ref="A18:C18"/>
    <mergeCell ref="A23:C23"/>
    <mergeCell ref="A1:I4"/>
    <mergeCell ref="A27:B27"/>
    <mergeCell ref="F7:F8"/>
    <mergeCell ref="G7:G8"/>
    <mergeCell ref="H7:H8"/>
    <mergeCell ref="I7:I8"/>
    <mergeCell ref="A13:C13"/>
    <mergeCell ref="A6:C6"/>
    <mergeCell ref="A7:A8"/>
    <mergeCell ref="B7:B8"/>
    <mergeCell ref="C7:C8"/>
    <mergeCell ref="D7:D8"/>
    <mergeCell ref="E7:E8"/>
  </mergeCells>
  <pageMargins left="0.511811024" right="0.511811024" top="0.78740157499999996" bottom="0.78740157499999996" header="0.31496062000000002" footer="0.31496062000000002"/>
  <pageSetup paperSize="9" scale="8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28"/>
  <sheetViews>
    <sheetView workbookViewId="0">
      <selection activeCell="J37" sqref="J37"/>
    </sheetView>
  </sheetViews>
  <sheetFormatPr defaultRowHeight="15" x14ac:dyDescent="0.25"/>
  <cols>
    <col min="1" max="1" width="4.5703125" bestFit="1" customWidth="1"/>
    <col min="2" max="2" width="35.5703125" bestFit="1" customWidth="1"/>
    <col min="3" max="3" width="20" bestFit="1" customWidth="1"/>
    <col min="4" max="4" width="6.140625" bestFit="1" customWidth="1"/>
    <col min="6" max="6" width="9" bestFit="1" customWidth="1"/>
    <col min="7" max="7" width="7.42578125" bestFit="1" customWidth="1"/>
    <col min="8" max="8" width="8.28515625" bestFit="1" customWidth="1"/>
    <col min="9" max="9" width="7.140625" hidden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5" spans="1:9" x14ac:dyDescent="0.25">
      <c r="A5" s="76"/>
      <c r="B5" s="76"/>
      <c r="C5" s="76"/>
      <c r="D5" s="76"/>
      <c r="E5" s="76"/>
      <c r="F5" s="76"/>
      <c r="G5" s="76"/>
      <c r="H5" s="76"/>
    </row>
    <row r="6" spans="1:9" ht="15.75" thickBot="1" x14ac:dyDescent="0.3">
      <c r="A6" s="225" t="s">
        <v>1</v>
      </c>
      <c r="B6" s="225"/>
      <c r="C6" s="225"/>
      <c r="D6" s="65"/>
      <c r="E6" s="65"/>
      <c r="F6" s="65"/>
      <c r="G6" s="65"/>
      <c r="H6" s="66"/>
      <c r="I6" s="1"/>
    </row>
    <row r="7" spans="1:9" x14ac:dyDescent="0.25">
      <c r="A7" s="215" t="s">
        <v>2</v>
      </c>
      <c r="B7" s="215" t="s">
        <v>3</v>
      </c>
      <c r="C7" s="215" t="s">
        <v>4</v>
      </c>
      <c r="D7" s="228"/>
      <c r="E7" s="215" t="s">
        <v>5</v>
      </c>
      <c r="F7" s="215" t="s">
        <v>6</v>
      </c>
      <c r="G7" s="215" t="s">
        <v>104</v>
      </c>
      <c r="H7" s="217" t="s">
        <v>7</v>
      </c>
      <c r="I7" s="222">
        <v>0.06</v>
      </c>
    </row>
    <row r="8" spans="1:9" ht="15.75" thickBot="1" x14ac:dyDescent="0.3">
      <c r="A8" s="215"/>
      <c r="B8" s="215"/>
      <c r="C8" s="215"/>
      <c r="D8" s="228"/>
      <c r="E8" s="215"/>
      <c r="F8" s="215"/>
      <c r="G8" s="215"/>
      <c r="H8" s="217"/>
      <c r="I8" s="219"/>
    </row>
    <row r="9" spans="1:9" ht="15.75" thickBot="1" x14ac:dyDescent="0.3">
      <c r="A9" s="68">
        <v>51</v>
      </c>
      <c r="B9" s="68" t="s">
        <v>8</v>
      </c>
      <c r="C9" s="68" t="s">
        <v>107</v>
      </c>
      <c r="D9" s="68" t="s">
        <v>10</v>
      </c>
      <c r="E9" s="68">
        <v>40</v>
      </c>
      <c r="F9" s="80" t="s">
        <v>26</v>
      </c>
      <c r="G9" s="68" t="s">
        <v>27</v>
      </c>
      <c r="H9" s="70">
        <f t="shared" ref="H9:H11" si="0">(I9*$I$7)+I9</f>
        <v>15.3276</v>
      </c>
      <c r="I9" s="6">
        <v>14.46</v>
      </c>
    </row>
    <row r="10" spans="1:9" ht="15.75" thickBot="1" x14ac:dyDescent="0.3">
      <c r="A10" s="68">
        <v>339</v>
      </c>
      <c r="B10" s="68" t="s">
        <v>8</v>
      </c>
      <c r="C10" s="68" t="s">
        <v>107</v>
      </c>
      <c r="D10" s="68" t="s">
        <v>15</v>
      </c>
      <c r="E10" s="68">
        <v>32</v>
      </c>
      <c r="F10" s="80" t="s">
        <v>26</v>
      </c>
      <c r="G10" s="68" t="s">
        <v>27</v>
      </c>
      <c r="H10" s="70">
        <f t="shared" si="0"/>
        <v>17.5748</v>
      </c>
      <c r="I10" s="6">
        <v>16.579999999999998</v>
      </c>
    </row>
    <row r="11" spans="1:9" ht="15.75" thickBot="1" x14ac:dyDescent="0.3">
      <c r="A11" s="68">
        <v>349</v>
      </c>
      <c r="B11" s="68" t="s">
        <v>8</v>
      </c>
      <c r="C11" s="68" t="s">
        <v>107</v>
      </c>
      <c r="D11" s="68" t="s">
        <v>18</v>
      </c>
      <c r="E11" s="68">
        <v>32</v>
      </c>
      <c r="F11" s="80" t="s">
        <v>26</v>
      </c>
      <c r="G11" s="68" t="s">
        <v>27</v>
      </c>
      <c r="H11" s="70">
        <f t="shared" si="0"/>
        <v>20.373199999999997</v>
      </c>
      <c r="I11" s="6">
        <v>19.22</v>
      </c>
    </row>
    <row r="12" spans="1:9" x14ac:dyDescent="0.25">
      <c r="A12" s="76"/>
      <c r="B12" s="76"/>
      <c r="C12" s="76"/>
      <c r="D12" s="76"/>
      <c r="E12" s="76"/>
      <c r="F12" s="76"/>
      <c r="G12" s="76"/>
      <c r="H12" s="76"/>
    </row>
    <row r="13" spans="1:9" ht="15.75" thickBot="1" x14ac:dyDescent="0.3">
      <c r="A13" s="243" t="s">
        <v>28</v>
      </c>
      <c r="B13" s="243"/>
      <c r="C13" s="243"/>
      <c r="D13" s="76"/>
      <c r="E13" s="76"/>
      <c r="F13" s="76"/>
      <c r="G13" s="76"/>
      <c r="H13" s="76"/>
    </row>
    <row r="14" spans="1:9" ht="15.75" thickBot="1" x14ac:dyDescent="0.3">
      <c r="A14" s="67">
        <v>132</v>
      </c>
      <c r="B14" s="68" t="s">
        <v>29</v>
      </c>
      <c r="C14" s="68" t="s">
        <v>30</v>
      </c>
      <c r="D14" s="68" t="s">
        <v>10</v>
      </c>
      <c r="E14" s="68">
        <v>20</v>
      </c>
      <c r="F14" s="81" t="s">
        <v>26</v>
      </c>
      <c r="G14" s="67" t="s">
        <v>37</v>
      </c>
      <c r="H14" s="70">
        <f t="shared" ref="H14:H16" si="1">(I14*$I$7)+I14</f>
        <v>31.450200000000002</v>
      </c>
      <c r="I14" s="59">
        <v>29.67</v>
      </c>
    </row>
    <row r="15" spans="1:9" ht="15.75" thickBot="1" x14ac:dyDescent="0.3">
      <c r="A15" s="67">
        <v>294</v>
      </c>
      <c r="B15" s="68" t="s">
        <v>29</v>
      </c>
      <c r="C15" s="68" t="s">
        <v>30</v>
      </c>
      <c r="D15" s="68" t="s">
        <v>15</v>
      </c>
      <c r="E15" s="68">
        <v>20</v>
      </c>
      <c r="F15" s="81" t="s">
        <v>26</v>
      </c>
      <c r="G15" s="67" t="s">
        <v>38</v>
      </c>
      <c r="H15" s="70">
        <f t="shared" si="1"/>
        <v>32.4148</v>
      </c>
      <c r="I15" s="6">
        <v>30.58</v>
      </c>
    </row>
    <row r="16" spans="1:9" ht="15.75" thickBot="1" x14ac:dyDescent="0.3">
      <c r="A16" s="67">
        <v>300</v>
      </c>
      <c r="B16" s="68" t="s">
        <v>29</v>
      </c>
      <c r="C16" s="68" t="s">
        <v>30</v>
      </c>
      <c r="D16" s="68" t="s">
        <v>18</v>
      </c>
      <c r="E16" s="68">
        <v>20</v>
      </c>
      <c r="F16" s="81" t="s">
        <v>26</v>
      </c>
      <c r="G16" s="67" t="s">
        <v>39</v>
      </c>
      <c r="H16" s="70">
        <f t="shared" si="1"/>
        <v>34.916399999999996</v>
      </c>
      <c r="I16" s="6">
        <v>32.94</v>
      </c>
    </row>
    <row r="17" spans="1:9" x14ac:dyDescent="0.25">
      <c r="A17" s="76"/>
      <c r="B17" s="76"/>
      <c r="C17" s="76"/>
      <c r="D17" s="76"/>
      <c r="E17" s="76"/>
      <c r="F17" s="76"/>
      <c r="G17" s="76"/>
      <c r="H17" s="76"/>
    </row>
    <row r="18" spans="1:9" ht="15.75" thickBot="1" x14ac:dyDescent="0.3">
      <c r="A18" s="238" t="s">
        <v>40</v>
      </c>
      <c r="B18" s="238"/>
      <c r="C18" s="238"/>
      <c r="D18" s="76"/>
      <c r="E18" s="76"/>
      <c r="F18" s="76"/>
      <c r="G18" s="76"/>
      <c r="H18" s="76"/>
    </row>
    <row r="19" spans="1:9" ht="15.75" thickBot="1" x14ac:dyDescent="0.3">
      <c r="A19" s="67">
        <v>152</v>
      </c>
      <c r="B19" s="68" t="s">
        <v>41</v>
      </c>
      <c r="C19" s="68" t="s">
        <v>42</v>
      </c>
      <c r="D19" s="68" t="s">
        <v>10</v>
      </c>
      <c r="E19" s="68">
        <v>1000</v>
      </c>
      <c r="F19" s="81" t="s">
        <v>26</v>
      </c>
      <c r="G19" s="67"/>
      <c r="H19" s="70">
        <f t="shared" ref="H19:H21" si="2">(I19*$I$7)+I19</f>
        <v>0.46639999999999998</v>
      </c>
      <c r="I19" s="37">
        <v>0.44</v>
      </c>
    </row>
    <row r="20" spans="1:9" ht="15.75" thickBot="1" x14ac:dyDescent="0.3">
      <c r="A20" s="67">
        <v>153</v>
      </c>
      <c r="B20" s="68" t="s">
        <v>43</v>
      </c>
      <c r="C20" s="68" t="s">
        <v>42</v>
      </c>
      <c r="D20" s="68" t="s">
        <v>15</v>
      </c>
      <c r="E20" s="68">
        <v>1000</v>
      </c>
      <c r="F20" s="81" t="s">
        <v>26</v>
      </c>
      <c r="G20" s="67"/>
      <c r="H20" s="70">
        <f t="shared" si="2"/>
        <v>0.49819999999999998</v>
      </c>
      <c r="I20" s="36">
        <v>0.47</v>
      </c>
    </row>
    <row r="21" spans="1:9" ht="15.75" thickBot="1" x14ac:dyDescent="0.3">
      <c r="A21" s="67">
        <v>154</v>
      </c>
      <c r="B21" s="68" t="s">
        <v>44</v>
      </c>
      <c r="C21" s="68" t="s">
        <v>42</v>
      </c>
      <c r="D21" s="68" t="s">
        <v>18</v>
      </c>
      <c r="E21" s="68">
        <v>1000</v>
      </c>
      <c r="F21" s="81" t="s">
        <v>26</v>
      </c>
      <c r="G21" s="67"/>
      <c r="H21" s="70">
        <f t="shared" si="2"/>
        <v>0.51939999999999997</v>
      </c>
      <c r="I21" s="36">
        <v>0.49</v>
      </c>
    </row>
    <row r="22" spans="1:9" x14ac:dyDescent="0.25">
      <c r="A22" s="76"/>
      <c r="B22" s="76"/>
      <c r="C22" s="76"/>
      <c r="D22" s="76"/>
      <c r="E22" s="76"/>
      <c r="F22" s="76"/>
      <c r="G22" s="76"/>
      <c r="H22" s="76"/>
    </row>
    <row r="23" spans="1:9" ht="15.75" thickBot="1" x14ac:dyDescent="0.3">
      <c r="A23" s="250" t="s">
        <v>45</v>
      </c>
      <c r="B23" s="250"/>
      <c r="C23" s="250"/>
      <c r="D23" s="76"/>
      <c r="E23" s="76"/>
      <c r="F23" s="76"/>
      <c r="G23" s="76"/>
      <c r="H23" s="76"/>
    </row>
    <row r="24" spans="1:9" ht="15.75" thickBot="1" x14ac:dyDescent="0.3">
      <c r="A24" s="67">
        <v>155</v>
      </c>
      <c r="B24" s="68" t="s">
        <v>117</v>
      </c>
      <c r="C24" s="68" t="s">
        <v>47</v>
      </c>
      <c r="D24" s="68"/>
      <c r="E24" s="68">
        <v>12</v>
      </c>
      <c r="F24" s="81" t="s">
        <v>26</v>
      </c>
      <c r="G24" s="67" t="s">
        <v>49</v>
      </c>
      <c r="H24" s="70">
        <f t="shared" ref="H24:H25" si="3">(I24*$I$7)+I24</f>
        <v>75.260000000000005</v>
      </c>
      <c r="I24" s="59">
        <v>71</v>
      </c>
    </row>
    <row r="25" spans="1:9" ht="15.75" thickBot="1" x14ac:dyDescent="0.3">
      <c r="A25" s="67">
        <v>158</v>
      </c>
      <c r="B25" s="68" t="s">
        <v>50</v>
      </c>
      <c r="C25" s="68" t="s">
        <v>100</v>
      </c>
      <c r="D25" s="68"/>
      <c r="E25" s="68">
        <v>150</v>
      </c>
      <c r="F25" s="81" t="s">
        <v>26</v>
      </c>
      <c r="G25" s="67" t="s">
        <v>51</v>
      </c>
      <c r="H25" s="70">
        <f t="shared" si="3"/>
        <v>7.3988000000000005</v>
      </c>
      <c r="I25" s="6">
        <v>6.98</v>
      </c>
    </row>
    <row r="27" spans="1:9" x14ac:dyDescent="0.25">
      <c r="A27" s="205" t="s">
        <v>93</v>
      </c>
      <c r="B27" s="205"/>
      <c r="F27" s="34"/>
      <c r="G27" s="34"/>
      <c r="H27" s="34"/>
    </row>
    <row r="28" spans="1:9" x14ac:dyDescent="0.25">
      <c r="A28" s="35" t="s">
        <v>94</v>
      </c>
      <c r="F28" s="63" t="s">
        <v>112</v>
      </c>
      <c r="H28" s="63"/>
    </row>
  </sheetData>
  <mergeCells count="15">
    <mergeCell ref="A13:C13"/>
    <mergeCell ref="A18:C18"/>
    <mergeCell ref="A23:C23"/>
    <mergeCell ref="A27:B27"/>
    <mergeCell ref="A1:I4"/>
    <mergeCell ref="A6:C6"/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ageMargins left="0.511811024" right="0.511811024" top="0.78740157499999996" bottom="0.78740157499999996" header="0.31496062000000002" footer="0.31496062000000002"/>
  <pageSetup paperSize="9" scale="9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53"/>
  <sheetViews>
    <sheetView topLeftCell="A34" workbookViewId="0">
      <selection activeCell="J37" sqref="J37"/>
    </sheetView>
  </sheetViews>
  <sheetFormatPr defaultRowHeight="15" x14ac:dyDescent="0.25"/>
  <cols>
    <col min="1" max="1" width="8.5703125" bestFit="1" customWidth="1"/>
    <col min="2" max="2" width="32.140625" bestFit="1" customWidth="1"/>
    <col min="3" max="3" width="19.5703125" bestFit="1" customWidth="1"/>
    <col min="4" max="4" width="6.5703125" bestFit="1" customWidth="1"/>
    <col min="5" max="5" width="9.5703125" bestFit="1" customWidth="1"/>
    <col min="6" max="6" width="8.140625" bestFit="1" customWidth="1"/>
    <col min="7" max="7" width="7.42578125" bestFit="1" customWidth="1"/>
    <col min="8" max="8" width="9.140625" bestFit="1" customWidth="1"/>
    <col min="9" max="9" width="8" bestFit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6" spans="1:9" ht="15.75" thickBot="1" x14ac:dyDescent="0.3">
      <c r="A6" s="225" t="s">
        <v>1</v>
      </c>
      <c r="B6" s="225"/>
      <c r="C6" s="225"/>
      <c r="D6" s="65"/>
      <c r="E6" s="65"/>
      <c r="F6" s="65"/>
      <c r="G6" s="65"/>
      <c r="H6" s="65"/>
      <c r="I6" s="38"/>
    </row>
    <row r="7" spans="1:9" x14ac:dyDescent="0.25">
      <c r="A7" s="215" t="s">
        <v>2</v>
      </c>
      <c r="B7" s="215" t="s">
        <v>3</v>
      </c>
      <c r="C7" s="215" t="s">
        <v>4</v>
      </c>
      <c r="D7" s="228"/>
      <c r="E7" s="215" t="s">
        <v>5</v>
      </c>
      <c r="F7" s="65" t="s">
        <v>6</v>
      </c>
      <c r="G7" s="65" t="s">
        <v>104</v>
      </c>
      <c r="H7" s="66" t="s">
        <v>7</v>
      </c>
      <c r="I7" s="222"/>
    </row>
    <row r="8" spans="1:9" ht="15.75" thickBot="1" x14ac:dyDescent="0.3">
      <c r="A8" s="215"/>
      <c r="B8" s="215"/>
      <c r="C8" s="215"/>
      <c r="D8" s="228"/>
      <c r="E8" s="215"/>
      <c r="F8" s="65"/>
      <c r="G8" s="65"/>
      <c r="H8" s="66"/>
      <c r="I8" s="219"/>
    </row>
    <row r="9" spans="1:9" ht="15.75" thickBot="1" x14ac:dyDescent="0.3">
      <c r="A9" s="68">
        <v>1957</v>
      </c>
      <c r="B9" s="68" t="s">
        <v>8</v>
      </c>
      <c r="C9" s="68" t="s">
        <v>106</v>
      </c>
      <c r="D9" s="68" t="s">
        <v>10</v>
      </c>
      <c r="E9" s="68"/>
      <c r="F9" s="82" t="s">
        <v>105</v>
      </c>
      <c r="G9" s="68" t="s">
        <v>27</v>
      </c>
      <c r="H9" s="70">
        <f>(I9*$I$7)+I9</f>
        <v>27.88</v>
      </c>
      <c r="I9" s="6">
        <v>27.88</v>
      </c>
    </row>
    <row r="10" spans="1:9" ht="15.75" thickBot="1" x14ac:dyDescent="0.3">
      <c r="A10" s="68">
        <v>1958</v>
      </c>
      <c r="B10" s="68" t="s">
        <v>8</v>
      </c>
      <c r="C10" s="68" t="s">
        <v>106</v>
      </c>
      <c r="D10" s="68" t="s">
        <v>15</v>
      </c>
      <c r="E10" s="68"/>
      <c r="F10" s="82" t="s">
        <v>105</v>
      </c>
      <c r="G10" s="68" t="s">
        <v>27</v>
      </c>
      <c r="H10" s="70">
        <f t="shared" ref="H10:H11" si="0">(I10*$I$7)+I10</f>
        <v>28.67</v>
      </c>
      <c r="I10" s="6">
        <v>28.67</v>
      </c>
    </row>
    <row r="11" spans="1:9" ht="15.75" thickBot="1" x14ac:dyDescent="0.3">
      <c r="A11" s="68">
        <v>1959</v>
      </c>
      <c r="B11" s="68" t="s">
        <v>8</v>
      </c>
      <c r="C11" s="68" t="s">
        <v>106</v>
      </c>
      <c r="D11" s="68" t="s">
        <v>18</v>
      </c>
      <c r="E11" s="68"/>
      <c r="F11" s="82" t="s">
        <v>105</v>
      </c>
      <c r="G11" s="68" t="s">
        <v>27</v>
      </c>
      <c r="H11" s="70">
        <f t="shared" si="0"/>
        <v>30.77</v>
      </c>
      <c r="I11" s="6">
        <v>30.77</v>
      </c>
    </row>
    <row r="12" spans="1:9" x14ac:dyDescent="0.25">
      <c r="A12" s="76"/>
      <c r="B12" s="76"/>
      <c r="C12" s="76"/>
      <c r="D12" s="76"/>
      <c r="E12" s="76"/>
      <c r="F12" s="76"/>
      <c r="G12" s="76"/>
      <c r="H12" s="76"/>
    </row>
    <row r="13" spans="1:9" ht="15.75" thickBot="1" x14ac:dyDescent="0.3">
      <c r="A13" s="249" t="s">
        <v>28</v>
      </c>
      <c r="B13" s="249"/>
      <c r="C13" s="249"/>
      <c r="D13" s="76"/>
      <c r="E13" s="76"/>
      <c r="F13" s="76"/>
      <c r="G13" s="76"/>
      <c r="H13" s="76"/>
    </row>
    <row r="14" spans="1:9" ht="15.75" thickBot="1" x14ac:dyDescent="0.3">
      <c r="A14" s="67">
        <v>1960</v>
      </c>
      <c r="B14" s="68" t="s">
        <v>29</v>
      </c>
      <c r="C14" s="68" t="s">
        <v>111</v>
      </c>
      <c r="D14" s="68" t="s">
        <v>10</v>
      </c>
      <c r="E14" s="68"/>
      <c r="F14" s="83" t="s">
        <v>105</v>
      </c>
      <c r="G14" s="67" t="s">
        <v>108</v>
      </c>
      <c r="H14" s="70">
        <f t="shared" ref="H14:H16" si="1">(I14*$I$7)+I14</f>
        <v>94.88</v>
      </c>
      <c r="I14" s="59">
        <v>94.88</v>
      </c>
    </row>
    <row r="15" spans="1:9" ht="15.75" thickBot="1" x14ac:dyDescent="0.3">
      <c r="A15" s="67">
        <v>1961</v>
      </c>
      <c r="B15" s="68" t="s">
        <v>29</v>
      </c>
      <c r="C15" s="68" t="s">
        <v>111</v>
      </c>
      <c r="D15" s="68" t="s">
        <v>15</v>
      </c>
      <c r="E15" s="68"/>
      <c r="F15" s="83" t="s">
        <v>105</v>
      </c>
      <c r="G15" s="67" t="s">
        <v>109</v>
      </c>
      <c r="H15" s="70">
        <f t="shared" si="1"/>
        <v>98.7</v>
      </c>
      <c r="I15" s="6">
        <v>98.7</v>
      </c>
    </row>
    <row r="16" spans="1:9" ht="15.75" thickBot="1" x14ac:dyDescent="0.3">
      <c r="A16" s="67">
        <v>1962</v>
      </c>
      <c r="B16" s="68" t="s">
        <v>29</v>
      </c>
      <c r="C16" s="68" t="s">
        <v>111</v>
      </c>
      <c r="D16" s="68" t="s">
        <v>18</v>
      </c>
      <c r="E16" s="68"/>
      <c r="F16" s="83" t="s">
        <v>105</v>
      </c>
      <c r="G16" s="67" t="s">
        <v>110</v>
      </c>
      <c r="H16" s="70">
        <f t="shared" si="1"/>
        <v>107.44</v>
      </c>
      <c r="I16" s="6">
        <v>107.44</v>
      </c>
    </row>
    <row r="17" spans="1:9" x14ac:dyDescent="0.25">
      <c r="A17" s="76"/>
      <c r="B17" s="76"/>
      <c r="C17" s="76"/>
      <c r="D17" s="76"/>
      <c r="E17" s="76"/>
      <c r="F17" s="76"/>
      <c r="G17" s="76"/>
      <c r="H17" s="76"/>
    </row>
    <row r="18" spans="1:9" ht="15.75" thickBot="1" x14ac:dyDescent="0.3">
      <c r="A18" s="238" t="s">
        <v>40</v>
      </c>
      <c r="B18" s="238"/>
      <c r="C18" s="238"/>
      <c r="D18" s="76"/>
      <c r="E18" s="76"/>
      <c r="F18" s="76"/>
      <c r="G18" s="76"/>
      <c r="H18" s="76"/>
    </row>
    <row r="19" spans="1:9" ht="15.75" thickBot="1" x14ac:dyDescent="0.3">
      <c r="A19" s="68">
        <v>1641</v>
      </c>
      <c r="B19" s="68" t="s">
        <v>95</v>
      </c>
      <c r="C19" s="68" t="s">
        <v>42</v>
      </c>
      <c r="D19" s="68" t="s">
        <v>10</v>
      </c>
      <c r="E19" s="68"/>
      <c r="F19" s="84" t="s">
        <v>98</v>
      </c>
      <c r="G19" s="68"/>
      <c r="H19" s="70">
        <f t="shared" ref="H19:H21" si="2">(I19*$I$7)+I19</f>
        <v>0.6</v>
      </c>
      <c r="I19" s="37">
        <v>0.6</v>
      </c>
    </row>
    <row r="20" spans="1:9" ht="15.75" thickBot="1" x14ac:dyDescent="0.3">
      <c r="A20" s="68">
        <v>1642</v>
      </c>
      <c r="B20" s="68" t="s">
        <v>96</v>
      </c>
      <c r="C20" s="68" t="s">
        <v>42</v>
      </c>
      <c r="D20" s="68" t="s">
        <v>15</v>
      </c>
      <c r="E20" s="68"/>
      <c r="F20" s="84" t="s">
        <v>98</v>
      </c>
      <c r="G20" s="68"/>
      <c r="H20" s="70">
        <f t="shared" si="2"/>
        <v>0.62</v>
      </c>
      <c r="I20" s="36">
        <v>0.62</v>
      </c>
    </row>
    <row r="21" spans="1:9" ht="15.75" thickBot="1" x14ac:dyDescent="0.3">
      <c r="A21" s="68">
        <v>1643</v>
      </c>
      <c r="B21" s="68" t="s">
        <v>97</v>
      </c>
      <c r="C21" s="68" t="s">
        <v>42</v>
      </c>
      <c r="D21" s="68" t="s">
        <v>18</v>
      </c>
      <c r="E21" s="68"/>
      <c r="F21" s="84" t="s">
        <v>98</v>
      </c>
      <c r="G21" s="68"/>
      <c r="H21" s="70">
        <f t="shared" si="2"/>
        <v>0.65</v>
      </c>
      <c r="I21" s="36">
        <v>0.65</v>
      </c>
    </row>
    <row r="22" spans="1:9" x14ac:dyDescent="0.25">
      <c r="A22" s="76"/>
      <c r="B22" s="76"/>
      <c r="C22" s="76"/>
      <c r="D22" s="76"/>
      <c r="E22" s="76"/>
      <c r="F22" s="76"/>
      <c r="G22" s="76"/>
      <c r="H22" s="76"/>
    </row>
    <row r="23" spans="1:9" ht="15.75" thickBot="1" x14ac:dyDescent="0.3">
      <c r="A23" s="250" t="s">
        <v>45</v>
      </c>
      <c r="B23" s="250"/>
      <c r="C23" s="250"/>
      <c r="D23" s="76"/>
      <c r="E23" s="76"/>
      <c r="F23" s="76"/>
      <c r="G23" s="76"/>
      <c r="H23" s="76"/>
    </row>
    <row r="24" spans="1:9" ht="15.75" thickBot="1" x14ac:dyDescent="0.3">
      <c r="A24" s="68">
        <v>1209</v>
      </c>
      <c r="B24" s="68" t="s">
        <v>46</v>
      </c>
      <c r="C24" s="68" t="s">
        <v>47</v>
      </c>
      <c r="D24" s="68"/>
      <c r="E24" s="68"/>
      <c r="F24" s="84" t="s">
        <v>98</v>
      </c>
      <c r="G24" s="68" t="s">
        <v>118</v>
      </c>
      <c r="H24" s="70">
        <f t="shared" ref="H24:H26" si="3">(I24*$I$7)+I24</f>
        <v>86.5</v>
      </c>
      <c r="I24" s="59">
        <v>86.5</v>
      </c>
    </row>
    <row r="25" spans="1:9" ht="15.75" thickBot="1" x14ac:dyDescent="0.3">
      <c r="A25" s="68">
        <v>1640</v>
      </c>
      <c r="B25" s="68" t="s">
        <v>50</v>
      </c>
      <c r="C25" s="68" t="s">
        <v>100</v>
      </c>
      <c r="D25" s="68"/>
      <c r="E25" s="68"/>
      <c r="F25" s="84" t="s">
        <v>98</v>
      </c>
      <c r="G25" s="68" t="s">
        <v>51</v>
      </c>
      <c r="H25" s="70">
        <f t="shared" si="3"/>
        <v>7.96</v>
      </c>
      <c r="I25" s="6">
        <v>7.96</v>
      </c>
    </row>
    <row r="26" spans="1:9" ht="15.75" thickBot="1" x14ac:dyDescent="0.3">
      <c r="A26" s="68">
        <v>1639</v>
      </c>
      <c r="B26" s="68" t="s">
        <v>50</v>
      </c>
      <c r="C26" s="68" t="s">
        <v>101</v>
      </c>
      <c r="D26" s="68"/>
      <c r="E26" s="68"/>
      <c r="F26" s="84" t="s">
        <v>98</v>
      </c>
      <c r="G26" s="68" t="s">
        <v>51</v>
      </c>
      <c r="H26" s="70">
        <f t="shared" si="3"/>
        <v>4.28</v>
      </c>
      <c r="I26" s="6">
        <v>4.28</v>
      </c>
    </row>
    <row r="27" spans="1:9" x14ac:dyDescent="0.25">
      <c r="A27" s="76"/>
      <c r="B27" s="76"/>
      <c r="C27" s="76"/>
      <c r="D27" s="76"/>
      <c r="E27" s="76"/>
      <c r="F27" s="76"/>
      <c r="G27" s="76"/>
      <c r="H27" s="76"/>
    </row>
    <row r="28" spans="1:9" ht="15.75" thickBot="1" x14ac:dyDescent="0.3">
      <c r="A28" s="251" t="s">
        <v>52</v>
      </c>
      <c r="B28" s="251"/>
      <c r="C28" s="251"/>
      <c r="D28" s="251"/>
      <c r="E28" s="76"/>
      <c r="F28" s="76"/>
      <c r="G28" s="76"/>
      <c r="H28" s="76"/>
    </row>
    <row r="29" spans="1:9" ht="15.75" thickBot="1" x14ac:dyDescent="0.3">
      <c r="A29" s="72">
        <v>159</v>
      </c>
      <c r="B29" s="72" t="s">
        <v>55</v>
      </c>
      <c r="C29" s="72" t="s">
        <v>56</v>
      </c>
      <c r="D29" s="72" t="s">
        <v>57</v>
      </c>
      <c r="E29" s="72" t="s">
        <v>75</v>
      </c>
      <c r="F29" s="84" t="s">
        <v>98</v>
      </c>
      <c r="G29" s="84"/>
      <c r="H29" s="70">
        <f t="shared" ref="H29:H38" si="4">(I29*$I$7)+I29</f>
        <v>5.21</v>
      </c>
      <c r="I29" s="62">
        <v>5.21</v>
      </c>
    </row>
    <row r="30" spans="1:9" ht="15.75" thickBot="1" x14ac:dyDescent="0.3">
      <c r="A30" s="72">
        <v>481</v>
      </c>
      <c r="B30" s="72" t="s">
        <v>55</v>
      </c>
      <c r="C30" s="72" t="s">
        <v>59</v>
      </c>
      <c r="D30" s="72" t="s">
        <v>57</v>
      </c>
      <c r="E30" s="72" t="s">
        <v>76</v>
      </c>
      <c r="F30" s="84" t="s">
        <v>98</v>
      </c>
      <c r="G30" s="84"/>
      <c r="H30" s="70">
        <f t="shared" si="4"/>
        <v>6.44</v>
      </c>
      <c r="I30" s="60">
        <v>6.44</v>
      </c>
    </row>
    <row r="31" spans="1:9" ht="15.75" thickBot="1" x14ac:dyDescent="0.3">
      <c r="A31" s="72">
        <v>160</v>
      </c>
      <c r="B31" s="72" t="s">
        <v>55</v>
      </c>
      <c r="C31" s="72" t="s">
        <v>60</v>
      </c>
      <c r="D31" s="72" t="s">
        <v>57</v>
      </c>
      <c r="E31" s="72" t="s">
        <v>63</v>
      </c>
      <c r="F31" s="84" t="s">
        <v>98</v>
      </c>
      <c r="G31" s="84"/>
      <c r="H31" s="70">
        <f t="shared" si="4"/>
        <v>7.38</v>
      </c>
      <c r="I31" s="60">
        <v>7.38</v>
      </c>
    </row>
    <row r="32" spans="1:9" ht="15.75" thickBot="1" x14ac:dyDescent="0.3">
      <c r="A32" s="72">
        <v>161</v>
      </c>
      <c r="B32" s="72" t="s">
        <v>55</v>
      </c>
      <c r="C32" s="72" t="s">
        <v>62</v>
      </c>
      <c r="D32" s="72" t="s">
        <v>57</v>
      </c>
      <c r="E32" s="72" t="s">
        <v>72</v>
      </c>
      <c r="F32" s="84" t="s">
        <v>98</v>
      </c>
      <c r="G32" s="84"/>
      <c r="H32" s="70">
        <f t="shared" si="4"/>
        <v>9.49</v>
      </c>
      <c r="I32" s="60">
        <v>9.49</v>
      </c>
    </row>
    <row r="33" spans="1:9" ht="15.75" thickBot="1" x14ac:dyDescent="0.3">
      <c r="A33" s="72">
        <v>162</v>
      </c>
      <c r="B33" s="72" t="s">
        <v>55</v>
      </c>
      <c r="C33" s="72" t="s">
        <v>64</v>
      </c>
      <c r="D33" s="72" t="s">
        <v>57</v>
      </c>
      <c r="E33" s="72" t="s">
        <v>77</v>
      </c>
      <c r="F33" s="84" t="s">
        <v>98</v>
      </c>
      <c r="G33" s="84"/>
      <c r="H33" s="70">
        <f t="shared" si="4"/>
        <v>14.13</v>
      </c>
      <c r="I33" s="60">
        <v>14.13</v>
      </c>
    </row>
    <row r="34" spans="1:9" ht="15.75" thickBot="1" x14ac:dyDescent="0.3">
      <c r="A34" s="72">
        <v>167</v>
      </c>
      <c r="B34" s="72" t="s">
        <v>55</v>
      </c>
      <c r="C34" s="72" t="s">
        <v>66</v>
      </c>
      <c r="D34" s="72" t="s">
        <v>57</v>
      </c>
      <c r="E34" s="72" t="s">
        <v>61</v>
      </c>
      <c r="F34" s="84" t="s">
        <v>98</v>
      </c>
      <c r="G34" s="84"/>
      <c r="H34" s="70">
        <f t="shared" si="4"/>
        <v>7.19</v>
      </c>
      <c r="I34" s="60">
        <v>7.19</v>
      </c>
    </row>
    <row r="35" spans="1:9" ht="15.75" thickBot="1" x14ac:dyDescent="0.3">
      <c r="A35" s="72">
        <v>479</v>
      </c>
      <c r="B35" s="72" t="s">
        <v>55</v>
      </c>
      <c r="C35" s="72" t="s">
        <v>68</v>
      </c>
      <c r="D35" s="72" t="s">
        <v>57</v>
      </c>
      <c r="E35" s="72" t="s">
        <v>63</v>
      </c>
      <c r="F35" s="84" t="s">
        <v>98</v>
      </c>
      <c r="G35" s="84"/>
      <c r="H35" s="70">
        <f t="shared" si="4"/>
        <v>8.9</v>
      </c>
      <c r="I35" s="60">
        <v>8.9</v>
      </c>
    </row>
    <row r="36" spans="1:9" ht="15.75" thickBot="1" x14ac:dyDescent="0.3">
      <c r="A36" s="72">
        <v>168</v>
      </c>
      <c r="B36" s="72" t="s">
        <v>55</v>
      </c>
      <c r="C36" s="72" t="s">
        <v>69</v>
      </c>
      <c r="D36" s="72" t="s">
        <v>57</v>
      </c>
      <c r="E36" s="72" t="s">
        <v>72</v>
      </c>
      <c r="F36" s="84" t="s">
        <v>98</v>
      </c>
      <c r="G36" s="84"/>
      <c r="H36" s="70">
        <f t="shared" si="4"/>
        <v>10.52</v>
      </c>
      <c r="I36" s="60">
        <v>10.52</v>
      </c>
    </row>
    <row r="37" spans="1:9" ht="15.75" thickBot="1" x14ac:dyDescent="0.3">
      <c r="A37" s="72">
        <v>169</v>
      </c>
      <c r="B37" s="72" t="s">
        <v>55</v>
      </c>
      <c r="C37" s="72" t="s">
        <v>71</v>
      </c>
      <c r="D37" s="72" t="s">
        <v>57</v>
      </c>
      <c r="E37" s="72" t="s">
        <v>78</v>
      </c>
      <c r="F37" s="84" t="s">
        <v>98</v>
      </c>
      <c r="G37" s="84"/>
      <c r="H37" s="70">
        <f t="shared" si="4"/>
        <v>13.51</v>
      </c>
      <c r="I37" s="60">
        <v>13.51</v>
      </c>
    </row>
    <row r="38" spans="1:9" ht="15.75" thickBot="1" x14ac:dyDescent="0.3">
      <c r="A38" s="72">
        <v>170</v>
      </c>
      <c r="B38" s="72" t="s">
        <v>55</v>
      </c>
      <c r="C38" s="72" t="s">
        <v>73</v>
      </c>
      <c r="D38" s="72" t="s">
        <v>57</v>
      </c>
      <c r="E38" s="72" t="s">
        <v>79</v>
      </c>
      <c r="F38" s="84" t="s">
        <v>98</v>
      </c>
      <c r="G38" s="84"/>
      <c r="H38" s="70">
        <f t="shared" si="4"/>
        <v>19.48</v>
      </c>
      <c r="I38" s="60">
        <v>19.48</v>
      </c>
    </row>
    <row r="39" spans="1:9" x14ac:dyDescent="0.25">
      <c r="A39" s="76"/>
      <c r="B39" s="76"/>
      <c r="C39" s="76"/>
      <c r="D39" s="76"/>
      <c r="E39" s="76"/>
      <c r="F39" s="76"/>
      <c r="G39" s="76"/>
      <c r="H39" s="76"/>
    </row>
    <row r="40" spans="1:9" ht="15.75" thickBot="1" x14ac:dyDescent="0.3">
      <c r="A40" s="252" t="s">
        <v>80</v>
      </c>
      <c r="B40" s="252"/>
      <c r="C40" s="252"/>
      <c r="D40" s="252"/>
      <c r="E40" s="76"/>
      <c r="F40" s="76"/>
      <c r="G40" s="76"/>
      <c r="H40" s="76"/>
    </row>
    <row r="41" spans="1:9" ht="15.75" thickBot="1" x14ac:dyDescent="0.3">
      <c r="A41" s="72">
        <v>416</v>
      </c>
      <c r="B41" s="72" t="s">
        <v>55</v>
      </c>
      <c r="C41" s="72" t="s">
        <v>56</v>
      </c>
      <c r="D41" s="72" t="s">
        <v>57</v>
      </c>
      <c r="E41" s="72" t="s">
        <v>67</v>
      </c>
      <c r="F41" s="84" t="s">
        <v>98</v>
      </c>
      <c r="G41" s="84"/>
      <c r="H41" s="70">
        <f t="shared" ref="H41:H50" si="5">(I41*$I$7)+I41</f>
        <v>5.05</v>
      </c>
      <c r="I41" s="62">
        <v>5.05</v>
      </c>
    </row>
    <row r="42" spans="1:9" ht="15.75" thickBot="1" x14ac:dyDescent="0.3">
      <c r="A42" s="72">
        <v>477</v>
      </c>
      <c r="B42" s="72" t="s">
        <v>55</v>
      </c>
      <c r="C42" s="72" t="s">
        <v>59</v>
      </c>
      <c r="D42" s="72" t="s">
        <v>57</v>
      </c>
      <c r="E42" s="72" t="s">
        <v>61</v>
      </c>
      <c r="F42" s="84" t="s">
        <v>98</v>
      </c>
      <c r="G42" s="84"/>
      <c r="H42" s="70">
        <f t="shared" si="5"/>
        <v>6.25</v>
      </c>
      <c r="I42" s="60">
        <v>6.25</v>
      </c>
    </row>
    <row r="43" spans="1:9" ht="15.75" thickBot="1" x14ac:dyDescent="0.3">
      <c r="A43" s="72">
        <v>420</v>
      </c>
      <c r="B43" s="72" t="s">
        <v>55</v>
      </c>
      <c r="C43" s="72" t="s">
        <v>60</v>
      </c>
      <c r="D43" s="72" t="s">
        <v>57</v>
      </c>
      <c r="E43" s="72" t="s">
        <v>87</v>
      </c>
      <c r="F43" s="84" t="s">
        <v>98</v>
      </c>
      <c r="G43" s="84"/>
      <c r="H43" s="70">
        <f t="shared" si="5"/>
        <v>7.1</v>
      </c>
      <c r="I43" s="60">
        <v>7.1</v>
      </c>
    </row>
    <row r="44" spans="1:9" ht="15.75" thickBot="1" x14ac:dyDescent="0.3">
      <c r="A44" s="72">
        <v>424</v>
      </c>
      <c r="B44" s="72" t="s">
        <v>55</v>
      </c>
      <c r="C44" s="72" t="s">
        <v>62</v>
      </c>
      <c r="D44" s="72" t="s">
        <v>57</v>
      </c>
      <c r="E44" s="72" t="s">
        <v>88</v>
      </c>
      <c r="F44" s="84" t="s">
        <v>98</v>
      </c>
      <c r="G44" s="84"/>
      <c r="H44" s="70">
        <f t="shared" si="5"/>
        <v>9.1999999999999993</v>
      </c>
      <c r="I44" s="60">
        <v>9.1999999999999993</v>
      </c>
    </row>
    <row r="45" spans="1:9" ht="15.75" thickBot="1" x14ac:dyDescent="0.3">
      <c r="A45" s="72">
        <v>428</v>
      </c>
      <c r="B45" s="72" t="s">
        <v>55</v>
      </c>
      <c r="C45" s="72" t="s">
        <v>64</v>
      </c>
      <c r="D45" s="72" t="s">
        <v>57</v>
      </c>
      <c r="E45" s="72" t="s">
        <v>89</v>
      </c>
      <c r="F45" s="84" t="s">
        <v>98</v>
      </c>
      <c r="G45" s="84"/>
      <c r="H45" s="70">
        <f t="shared" si="5"/>
        <v>13.72</v>
      </c>
      <c r="I45" s="60">
        <v>13.72</v>
      </c>
    </row>
    <row r="46" spans="1:9" ht="15.75" thickBot="1" x14ac:dyDescent="0.3">
      <c r="A46" s="72">
        <v>418</v>
      </c>
      <c r="B46" s="72" t="s">
        <v>55</v>
      </c>
      <c r="C46" s="72" t="s">
        <v>66</v>
      </c>
      <c r="D46" s="72" t="s">
        <v>57</v>
      </c>
      <c r="E46" s="72" t="s">
        <v>90</v>
      </c>
      <c r="F46" s="84" t="s">
        <v>98</v>
      </c>
      <c r="G46" s="84"/>
      <c r="H46" s="70">
        <f t="shared" si="5"/>
        <v>7</v>
      </c>
      <c r="I46" s="60">
        <v>7</v>
      </c>
    </row>
    <row r="47" spans="1:9" ht="15.75" thickBot="1" x14ac:dyDescent="0.3">
      <c r="A47" s="72">
        <v>475</v>
      </c>
      <c r="B47" s="72" t="s">
        <v>55</v>
      </c>
      <c r="C47" s="72" t="s">
        <v>68</v>
      </c>
      <c r="D47" s="72" t="s">
        <v>57</v>
      </c>
      <c r="E47" s="72" t="s">
        <v>78</v>
      </c>
      <c r="F47" s="84" t="s">
        <v>98</v>
      </c>
      <c r="G47" s="84"/>
      <c r="H47" s="70">
        <f t="shared" si="5"/>
        <v>8.6199999999999992</v>
      </c>
      <c r="I47" s="60">
        <v>8.6199999999999992</v>
      </c>
    </row>
    <row r="48" spans="1:9" ht="15.75" thickBot="1" x14ac:dyDescent="0.3">
      <c r="A48" s="72">
        <v>422</v>
      </c>
      <c r="B48" s="72" t="s">
        <v>55</v>
      </c>
      <c r="C48" s="72" t="s">
        <v>69</v>
      </c>
      <c r="D48" s="72" t="s">
        <v>57</v>
      </c>
      <c r="E48" s="72" t="s">
        <v>88</v>
      </c>
      <c r="F48" s="84" t="s">
        <v>98</v>
      </c>
      <c r="G48" s="84"/>
      <c r="H48" s="70">
        <f t="shared" si="5"/>
        <v>10.19</v>
      </c>
      <c r="I48" s="60">
        <v>10.19</v>
      </c>
    </row>
    <row r="49" spans="1:9" ht="15.75" thickBot="1" x14ac:dyDescent="0.3">
      <c r="A49" s="72">
        <v>426</v>
      </c>
      <c r="B49" s="72" t="s">
        <v>55</v>
      </c>
      <c r="C49" s="72" t="s">
        <v>71</v>
      </c>
      <c r="D49" s="72" t="s">
        <v>57</v>
      </c>
      <c r="E49" s="72" t="s">
        <v>91</v>
      </c>
      <c r="F49" s="84" t="s">
        <v>98</v>
      </c>
      <c r="G49" s="84"/>
      <c r="H49" s="70">
        <f t="shared" si="5"/>
        <v>13.11</v>
      </c>
      <c r="I49" s="60">
        <v>13.11</v>
      </c>
    </row>
    <row r="50" spans="1:9" ht="15.75" thickBot="1" x14ac:dyDescent="0.3">
      <c r="A50" s="72">
        <v>430</v>
      </c>
      <c r="B50" s="72" t="s">
        <v>55</v>
      </c>
      <c r="C50" s="72" t="s">
        <v>73</v>
      </c>
      <c r="D50" s="72" t="s">
        <v>57</v>
      </c>
      <c r="E50" s="72" t="s">
        <v>92</v>
      </c>
      <c r="F50" s="84" t="s">
        <v>98</v>
      </c>
      <c r="G50" s="84"/>
      <c r="H50" s="70">
        <f t="shared" si="5"/>
        <v>18.91</v>
      </c>
      <c r="I50" s="60">
        <v>18.91</v>
      </c>
    </row>
    <row r="51" spans="1:9" x14ac:dyDescent="0.25">
      <c r="A51" s="32"/>
      <c r="F51" s="34"/>
      <c r="G51" s="34"/>
      <c r="H51" s="34"/>
      <c r="I51" s="61"/>
    </row>
    <row r="52" spans="1:9" x14ac:dyDescent="0.25">
      <c r="A52" s="205" t="s">
        <v>93</v>
      </c>
      <c r="B52" s="205"/>
      <c r="F52" s="34"/>
      <c r="G52" s="34"/>
      <c r="H52" s="34"/>
      <c r="I52" s="61"/>
    </row>
    <row r="53" spans="1:9" x14ac:dyDescent="0.25">
      <c r="A53" s="35" t="s">
        <v>94</v>
      </c>
      <c r="F53" s="35" t="s">
        <v>112</v>
      </c>
      <c r="G53" s="35"/>
      <c r="H53" s="35"/>
    </row>
  </sheetData>
  <mergeCells count="14">
    <mergeCell ref="A40:D40"/>
    <mergeCell ref="A52:B52"/>
    <mergeCell ref="A13:C13"/>
    <mergeCell ref="A18:C18"/>
    <mergeCell ref="A23:C23"/>
    <mergeCell ref="A28:D28"/>
    <mergeCell ref="A1:I4"/>
    <mergeCell ref="A6:C6"/>
    <mergeCell ref="A7:A8"/>
    <mergeCell ref="B7:B8"/>
    <mergeCell ref="C7:C8"/>
    <mergeCell ref="D7:D8"/>
    <mergeCell ref="E7:E8"/>
    <mergeCell ref="I7:I8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53"/>
  <sheetViews>
    <sheetView topLeftCell="A10" workbookViewId="0">
      <selection activeCell="J37" sqref="J37"/>
    </sheetView>
  </sheetViews>
  <sheetFormatPr defaultRowHeight="15" x14ac:dyDescent="0.25"/>
  <cols>
    <col min="1" max="1" width="8.5703125" bestFit="1" customWidth="1"/>
    <col min="2" max="2" width="32.140625" bestFit="1" customWidth="1"/>
    <col min="3" max="3" width="19.5703125" bestFit="1" customWidth="1"/>
    <col min="4" max="4" width="6.5703125" bestFit="1" customWidth="1"/>
    <col min="5" max="5" width="9.5703125" bestFit="1" customWidth="1"/>
    <col min="6" max="6" width="8.140625" bestFit="1" customWidth="1"/>
    <col min="7" max="7" width="7.42578125" bestFit="1" customWidth="1"/>
    <col min="9" max="9" width="8" hidden="1" customWidth="1"/>
  </cols>
  <sheetData>
    <row r="1" spans="1:9" x14ac:dyDescent="0.25">
      <c r="A1" s="207" t="s">
        <v>116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25">
      <c r="A2" s="207"/>
      <c r="B2" s="207"/>
      <c r="C2" s="207"/>
      <c r="D2" s="207"/>
      <c r="E2" s="207"/>
      <c r="F2" s="207"/>
      <c r="G2" s="207"/>
      <c r="H2" s="207"/>
      <c r="I2" s="207"/>
    </row>
    <row r="3" spans="1:9" x14ac:dyDescent="0.25">
      <c r="A3" s="207"/>
      <c r="B3" s="207"/>
      <c r="C3" s="207"/>
      <c r="D3" s="207"/>
      <c r="E3" s="207"/>
      <c r="F3" s="207"/>
      <c r="G3" s="207"/>
      <c r="H3" s="207"/>
      <c r="I3" s="207"/>
    </row>
    <row r="4" spans="1:9" x14ac:dyDescent="0.25">
      <c r="A4" s="207"/>
      <c r="B4" s="207"/>
      <c r="C4" s="207"/>
      <c r="D4" s="207"/>
      <c r="E4" s="207"/>
      <c r="F4" s="207"/>
      <c r="G4" s="207"/>
      <c r="H4" s="207"/>
      <c r="I4" s="207"/>
    </row>
    <row r="6" spans="1:9" ht="15.75" thickBot="1" x14ac:dyDescent="0.3">
      <c r="A6" s="225" t="s">
        <v>1</v>
      </c>
      <c r="B6" s="225"/>
      <c r="C6" s="225"/>
      <c r="D6" s="65"/>
      <c r="E6" s="65"/>
      <c r="F6" s="65"/>
      <c r="G6" s="65"/>
      <c r="H6" s="65"/>
      <c r="I6" s="38"/>
    </row>
    <row r="7" spans="1:9" x14ac:dyDescent="0.25">
      <c r="A7" s="215" t="s">
        <v>2</v>
      </c>
      <c r="B7" s="215" t="s">
        <v>3</v>
      </c>
      <c r="C7" s="215" t="s">
        <v>4</v>
      </c>
      <c r="D7" s="228"/>
      <c r="E7" s="215" t="s">
        <v>5</v>
      </c>
      <c r="F7" s="65" t="s">
        <v>6</v>
      </c>
      <c r="G7" s="65" t="s">
        <v>104</v>
      </c>
      <c r="H7" s="66" t="s">
        <v>7</v>
      </c>
      <c r="I7" s="222">
        <v>0.06</v>
      </c>
    </row>
    <row r="8" spans="1:9" ht="15.75" thickBot="1" x14ac:dyDescent="0.3">
      <c r="A8" s="215"/>
      <c r="B8" s="215"/>
      <c r="C8" s="215"/>
      <c r="D8" s="228"/>
      <c r="E8" s="215"/>
      <c r="F8" s="65"/>
      <c r="G8" s="65"/>
      <c r="H8" s="66"/>
      <c r="I8" s="219"/>
    </row>
    <row r="9" spans="1:9" ht="15.75" thickBot="1" x14ac:dyDescent="0.3">
      <c r="A9" s="68">
        <v>1957</v>
      </c>
      <c r="B9" s="68" t="s">
        <v>8</v>
      </c>
      <c r="C9" s="68" t="s">
        <v>106</v>
      </c>
      <c r="D9" s="68" t="s">
        <v>10</v>
      </c>
      <c r="E9" s="68">
        <v>40</v>
      </c>
      <c r="F9" s="82" t="s">
        <v>105</v>
      </c>
      <c r="G9" s="68" t="s">
        <v>27</v>
      </c>
      <c r="H9" s="70">
        <f>(I9*$I$7)+I9</f>
        <v>29.552799999999998</v>
      </c>
      <c r="I9" s="6">
        <v>27.88</v>
      </c>
    </row>
    <row r="10" spans="1:9" ht="15.75" thickBot="1" x14ac:dyDescent="0.3">
      <c r="A10" s="68">
        <v>1958</v>
      </c>
      <c r="B10" s="68" t="s">
        <v>8</v>
      </c>
      <c r="C10" s="68" t="s">
        <v>106</v>
      </c>
      <c r="D10" s="68" t="s">
        <v>15</v>
      </c>
      <c r="E10" s="68">
        <v>32</v>
      </c>
      <c r="F10" s="82" t="s">
        <v>105</v>
      </c>
      <c r="G10" s="68" t="s">
        <v>27</v>
      </c>
      <c r="H10" s="70">
        <f t="shared" ref="H10:H11" si="0">(I10*$I$7)+I10</f>
        <v>30.3902</v>
      </c>
      <c r="I10" s="6">
        <v>28.67</v>
      </c>
    </row>
    <row r="11" spans="1:9" ht="15.75" thickBot="1" x14ac:dyDescent="0.3">
      <c r="A11" s="68">
        <v>1959</v>
      </c>
      <c r="B11" s="68" t="s">
        <v>8</v>
      </c>
      <c r="C11" s="68" t="s">
        <v>106</v>
      </c>
      <c r="D11" s="68" t="s">
        <v>18</v>
      </c>
      <c r="E11" s="68">
        <v>32</v>
      </c>
      <c r="F11" s="82" t="s">
        <v>105</v>
      </c>
      <c r="G11" s="68" t="s">
        <v>27</v>
      </c>
      <c r="H11" s="70">
        <f t="shared" si="0"/>
        <v>32.616199999999999</v>
      </c>
      <c r="I11" s="6">
        <v>30.77</v>
      </c>
    </row>
    <row r="12" spans="1:9" x14ac:dyDescent="0.25">
      <c r="A12" s="76"/>
      <c r="B12" s="76"/>
      <c r="C12" s="76"/>
      <c r="D12" s="76"/>
      <c r="E12" s="76"/>
      <c r="F12" s="76"/>
      <c r="G12" s="76"/>
      <c r="H12" s="76"/>
    </row>
    <row r="13" spans="1:9" ht="15.75" thickBot="1" x14ac:dyDescent="0.3">
      <c r="A13" s="249" t="s">
        <v>28</v>
      </c>
      <c r="B13" s="249"/>
      <c r="C13" s="249"/>
      <c r="D13" s="76"/>
      <c r="E13" s="76"/>
      <c r="F13" s="76"/>
      <c r="G13" s="76"/>
      <c r="H13" s="76"/>
    </row>
    <row r="14" spans="1:9" ht="15.75" thickBot="1" x14ac:dyDescent="0.3">
      <c r="A14" s="67">
        <v>1960</v>
      </c>
      <c r="B14" s="68" t="s">
        <v>29</v>
      </c>
      <c r="C14" s="68" t="s">
        <v>111</v>
      </c>
      <c r="D14" s="68" t="s">
        <v>10</v>
      </c>
      <c r="E14" s="68"/>
      <c r="F14" s="83" t="s">
        <v>105</v>
      </c>
      <c r="G14" s="67" t="s">
        <v>108</v>
      </c>
      <c r="H14" s="70">
        <f t="shared" ref="H14:H16" si="1">(I14*$I$7)+I14</f>
        <v>100.5728</v>
      </c>
      <c r="I14" s="59">
        <v>94.88</v>
      </c>
    </row>
    <row r="15" spans="1:9" ht="15.75" thickBot="1" x14ac:dyDescent="0.3">
      <c r="A15" s="67">
        <v>1961</v>
      </c>
      <c r="B15" s="68" t="s">
        <v>29</v>
      </c>
      <c r="C15" s="68" t="s">
        <v>111</v>
      </c>
      <c r="D15" s="68" t="s">
        <v>15</v>
      </c>
      <c r="E15" s="68"/>
      <c r="F15" s="83" t="s">
        <v>105</v>
      </c>
      <c r="G15" s="67" t="s">
        <v>109</v>
      </c>
      <c r="H15" s="70">
        <f t="shared" si="1"/>
        <v>104.622</v>
      </c>
      <c r="I15" s="6">
        <v>98.7</v>
      </c>
    </row>
    <row r="16" spans="1:9" ht="15.75" thickBot="1" x14ac:dyDescent="0.3">
      <c r="A16" s="67">
        <v>1962</v>
      </c>
      <c r="B16" s="68" t="s">
        <v>29</v>
      </c>
      <c r="C16" s="68" t="s">
        <v>111</v>
      </c>
      <c r="D16" s="68" t="s">
        <v>18</v>
      </c>
      <c r="E16" s="68"/>
      <c r="F16" s="83" t="s">
        <v>105</v>
      </c>
      <c r="G16" s="67" t="s">
        <v>110</v>
      </c>
      <c r="H16" s="70">
        <f t="shared" si="1"/>
        <v>113.88639999999999</v>
      </c>
      <c r="I16" s="6">
        <v>107.44</v>
      </c>
    </row>
    <row r="17" spans="1:9" x14ac:dyDescent="0.25">
      <c r="A17" s="76"/>
      <c r="B17" s="76"/>
      <c r="C17" s="76"/>
      <c r="D17" s="76"/>
      <c r="E17" s="76"/>
      <c r="F17" s="76"/>
      <c r="G17" s="76"/>
      <c r="H17" s="76"/>
    </row>
    <row r="18" spans="1:9" ht="15.75" thickBot="1" x14ac:dyDescent="0.3">
      <c r="A18" s="238" t="s">
        <v>40</v>
      </c>
      <c r="B18" s="238"/>
      <c r="C18" s="238"/>
      <c r="D18" s="76"/>
      <c r="E18" s="76"/>
      <c r="F18" s="76"/>
      <c r="G18" s="76"/>
      <c r="H18" s="76"/>
    </row>
    <row r="19" spans="1:9" ht="15.75" thickBot="1" x14ac:dyDescent="0.3">
      <c r="A19" s="68">
        <v>1641</v>
      </c>
      <c r="B19" s="68" t="s">
        <v>95</v>
      </c>
      <c r="C19" s="68" t="s">
        <v>42</v>
      </c>
      <c r="D19" s="68" t="s">
        <v>10</v>
      </c>
      <c r="E19" s="68">
        <v>1000</v>
      </c>
      <c r="F19" s="84" t="s">
        <v>98</v>
      </c>
      <c r="G19" s="68"/>
      <c r="H19" s="70">
        <f t="shared" ref="H19:H21" si="2">(I19*$I$7)+I19</f>
        <v>0.63600000000000001</v>
      </c>
      <c r="I19" s="37">
        <v>0.6</v>
      </c>
    </row>
    <row r="20" spans="1:9" ht="15.75" thickBot="1" x14ac:dyDescent="0.3">
      <c r="A20" s="68">
        <v>1642</v>
      </c>
      <c r="B20" s="68" t="s">
        <v>96</v>
      </c>
      <c r="C20" s="68" t="s">
        <v>42</v>
      </c>
      <c r="D20" s="68" t="s">
        <v>15</v>
      </c>
      <c r="E20" s="68">
        <v>1000</v>
      </c>
      <c r="F20" s="84" t="s">
        <v>98</v>
      </c>
      <c r="G20" s="68"/>
      <c r="H20" s="70">
        <f t="shared" si="2"/>
        <v>0.65720000000000001</v>
      </c>
      <c r="I20" s="36">
        <v>0.62</v>
      </c>
    </row>
    <row r="21" spans="1:9" ht="15.75" thickBot="1" x14ac:dyDescent="0.3">
      <c r="A21" s="68">
        <v>1643</v>
      </c>
      <c r="B21" s="68" t="s">
        <v>97</v>
      </c>
      <c r="C21" s="68" t="s">
        <v>42</v>
      </c>
      <c r="D21" s="68" t="s">
        <v>18</v>
      </c>
      <c r="E21" s="68">
        <v>1000</v>
      </c>
      <c r="F21" s="84" t="s">
        <v>98</v>
      </c>
      <c r="G21" s="68"/>
      <c r="H21" s="70">
        <f t="shared" si="2"/>
        <v>0.68900000000000006</v>
      </c>
      <c r="I21" s="36">
        <v>0.65</v>
      </c>
    </row>
    <row r="22" spans="1:9" x14ac:dyDescent="0.25">
      <c r="A22" s="76"/>
      <c r="B22" s="76"/>
      <c r="C22" s="76"/>
      <c r="D22" s="76"/>
      <c r="E22" s="76"/>
      <c r="F22" s="76"/>
      <c r="G22" s="76"/>
      <c r="H22" s="76"/>
    </row>
    <row r="23" spans="1:9" ht="15.75" thickBot="1" x14ac:dyDescent="0.3">
      <c r="A23" s="250" t="s">
        <v>45</v>
      </c>
      <c r="B23" s="250"/>
      <c r="C23" s="250"/>
      <c r="D23" s="76"/>
      <c r="E23" s="76"/>
      <c r="F23" s="76"/>
      <c r="G23" s="76"/>
      <c r="H23" s="76"/>
    </row>
    <row r="24" spans="1:9" ht="15.75" thickBot="1" x14ac:dyDescent="0.3">
      <c r="A24" s="68">
        <v>1209</v>
      </c>
      <c r="B24" s="68" t="s">
        <v>46</v>
      </c>
      <c r="C24" s="68" t="s">
        <v>47</v>
      </c>
      <c r="D24" s="68"/>
      <c r="E24" s="68">
        <v>12</v>
      </c>
      <c r="F24" s="84" t="s">
        <v>98</v>
      </c>
      <c r="G24" s="68" t="s">
        <v>49</v>
      </c>
      <c r="H24" s="70">
        <f t="shared" ref="H24:H26" si="3">(I24*$I$7)+I24</f>
        <v>91.69</v>
      </c>
      <c r="I24" s="59">
        <v>86.5</v>
      </c>
    </row>
    <row r="25" spans="1:9" ht="15.75" thickBot="1" x14ac:dyDescent="0.3">
      <c r="A25" s="68">
        <v>1640</v>
      </c>
      <c r="B25" s="68" t="s">
        <v>50</v>
      </c>
      <c r="C25" s="68" t="s">
        <v>100</v>
      </c>
      <c r="D25" s="68"/>
      <c r="E25" s="68">
        <v>150</v>
      </c>
      <c r="F25" s="84" t="s">
        <v>98</v>
      </c>
      <c r="G25" s="68" t="s">
        <v>51</v>
      </c>
      <c r="H25" s="70">
        <f t="shared" si="3"/>
        <v>8.4375999999999998</v>
      </c>
      <c r="I25" s="6">
        <v>7.96</v>
      </c>
    </row>
    <row r="26" spans="1:9" ht="15.75" thickBot="1" x14ac:dyDescent="0.3">
      <c r="A26" s="68">
        <v>1639</v>
      </c>
      <c r="B26" s="68" t="s">
        <v>50</v>
      </c>
      <c r="C26" s="68" t="s">
        <v>101</v>
      </c>
      <c r="D26" s="68"/>
      <c r="E26" s="68">
        <v>300</v>
      </c>
      <c r="F26" s="84" t="s">
        <v>98</v>
      </c>
      <c r="G26" s="68" t="s">
        <v>51</v>
      </c>
      <c r="H26" s="70">
        <f t="shared" si="3"/>
        <v>4.5368000000000004</v>
      </c>
      <c r="I26" s="6">
        <v>4.28</v>
      </c>
    </row>
    <row r="27" spans="1:9" x14ac:dyDescent="0.25">
      <c r="A27" s="76"/>
      <c r="B27" s="76"/>
      <c r="C27" s="76"/>
      <c r="D27" s="76"/>
      <c r="E27" s="76"/>
      <c r="F27" s="76"/>
      <c r="G27" s="76"/>
      <c r="H27" s="76"/>
    </row>
    <row r="28" spans="1:9" ht="15.75" thickBot="1" x14ac:dyDescent="0.3">
      <c r="A28" s="251" t="s">
        <v>52</v>
      </c>
      <c r="B28" s="251"/>
      <c r="C28" s="251"/>
      <c r="D28" s="251"/>
      <c r="E28" s="76"/>
      <c r="F28" s="76"/>
      <c r="G28" s="76"/>
      <c r="H28" s="76"/>
    </row>
    <row r="29" spans="1:9" ht="15.75" thickBot="1" x14ac:dyDescent="0.3">
      <c r="A29" s="72">
        <v>159</v>
      </c>
      <c r="B29" s="72" t="s">
        <v>55</v>
      </c>
      <c r="C29" s="72" t="s">
        <v>56</v>
      </c>
      <c r="D29" s="72" t="s">
        <v>57</v>
      </c>
      <c r="E29" s="72" t="s">
        <v>75</v>
      </c>
      <c r="F29" s="84" t="s">
        <v>98</v>
      </c>
      <c r="G29" s="84"/>
      <c r="H29" s="70">
        <f t="shared" ref="H29:H38" si="4">(I29*$I$7)+I29</f>
        <v>5.5225999999999997</v>
      </c>
      <c r="I29" s="62">
        <v>5.21</v>
      </c>
    </row>
    <row r="30" spans="1:9" ht="15.75" thickBot="1" x14ac:dyDescent="0.3">
      <c r="A30" s="72">
        <v>481</v>
      </c>
      <c r="B30" s="72" t="s">
        <v>55</v>
      </c>
      <c r="C30" s="72" t="s">
        <v>59</v>
      </c>
      <c r="D30" s="72" t="s">
        <v>57</v>
      </c>
      <c r="E30" s="72" t="s">
        <v>76</v>
      </c>
      <c r="F30" s="84" t="s">
        <v>98</v>
      </c>
      <c r="G30" s="84"/>
      <c r="H30" s="70">
        <f t="shared" si="4"/>
        <v>6.8264000000000005</v>
      </c>
      <c r="I30" s="60">
        <v>6.44</v>
      </c>
    </row>
    <row r="31" spans="1:9" ht="15.75" thickBot="1" x14ac:dyDescent="0.3">
      <c r="A31" s="72">
        <v>160</v>
      </c>
      <c r="B31" s="72" t="s">
        <v>55</v>
      </c>
      <c r="C31" s="72" t="s">
        <v>60</v>
      </c>
      <c r="D31" s="72" t="s">
        <v>57</v>
      </c>
      <c r="E31" s="72" t="s">
        <v>63</v>
      </c>
      <c r="F31" s="84" t="s">
        <v>98</v>
      </c>
      <c r="G31" s="84"/>
      <c r="H31" s="70">
        <f t="shared" si="4"/>
        <v>7.8228</v>
      </c>
      <c r="I31" s="60">
        <v>7.38</v>
      </c>
    </row>
    <row r="32" spans="1:9" ht="15.75" thickBot="1" x14ac:dyDescent="0.3">
      <c r="A32" s="72">
        <v>161</v>
      </c>
      <c r="B32" s="72" t="s">
        <v>55</v>
      </c>
      <c r="C32" s="72" t="s">
        <v>62</v>
      </c>
      <c r="D32" s="72" t="s">
        <v>57</v>
      </c>
      <c r="E32" s="72" t="s">
        <v>72</v>
      </c>
      <c r="F32" s="84" t="s">
        <v>98</v>
      </c>
      <c r="G32" s="84"/>
      <c r="H32" s="70">
        <f t="shared" si="4"/>
        <v>10.0594</v>
      </c>
      <c r="I32" s="60">
        <v>9.49</v>
      </c>
    </row>
    <row r="33" spans="1:9" ht="15.75" thickBot="1" x14ac:dyDescent="0.3">
      <c r="A33" s="72">
        <v>162</v>
      </c>
      <c r="B33" s="72" t="s">
        <v>55</v>
      </c>
      <c r="C33" s="72" t="s">
        <v>64</v>
      </c>
      <c r="D33" s="72" t="s">
        <v>57</v>
      </c>
      <c r="E33" s="72" t="s">
        <v>77</v>
      </c>
      <c r="F33" s="84" t="s">
        <v>98</v>
      </c>
      <c r="G33" s="84"/>
      <c r="H33" s="70">
        <f t="shared" si="4"/>
        <v>14.9778</v>
      </c>
      <c r="I33" s="60">
        <v>14.13</v>
      </c>
    </row>
    <row r="34" spans="1:9" ht="15.75" thickBot="1" x14ac:dyDescent="0.3">
      <c r="A34" s="72">
        <v>167</v>
      </c>
      <c r="B34" s="72" t="s">
        <v>55</v>
      </c>
      <c r="C34" s="72" t="s">
        <v>66</v>
      </c>
      <c r="D34" s="72" t="s">
        <v>57</v>
      </c>
      <c r="E34" s="72" t="s">
        <v>61</v>
      </c>
      <c r="F34" s="84" t="s">
        <v>98</v>
      </c>
      <c r="G34" s="84"/>
      <c r="H34" s="70">
        <f t="shared" si="4"/>
        <v>7.6214000000000004</v>
      </c>
      <c r="I34" s="60">
        <v>7.19</v>
      </c>
    </row>
    <row r="35" spans="1:9" ht="15.75" thickBot="1" x14ac:dyDescent="0.3">
      <c r="A35" s="72">
        <v>479</v>
      </c>
      <c r="B35" s="72" t="s">
        <v>55</v>
      </c>
      <c r="C35" s="72" t="s">
        <v>68</v>
      </c>
      <c r="D35" s="72" t="s">
        <v>57</v>
      </c>
      <c r="E35" s="72" t="s">
        <v>63</v>
      </c>
      <c r="F35" s="84" t="s">
        <v>98</v>
      </c>
      <c r="G35" s="84"/>
      <c r="H35" s="70">
        <f t="shared" si="4"/>
        <v>9.4340000000000011</v>
      </c>
      <c r="I35" s="60">
        <v>8.9</v>
      </c>
    </row>
    <row r="36" spans="1:9" ht="15.75" thickBot="1" x14ac:dyDescent="0.3">
      <c r="A36" s="72">
        <v>168</v>
      </c>
      <c r="B36" s="72" t="s">
        <v>55</v>
      </c>
      <c r="C36" s="72" t="s">
        <v>69</v>
      </c>
      <c r="D36" s="72" t="s">
        <v>57</v>
      </c>
      <c r="E36" s="72" t="s">
        <v>72</v>
      </c>
      <c r="F36" s="84" t="s">
        <v>98</v>
      </c>
      <c r="G36" s="84"/>
      <c r="H36" s="70">
        <f t="shared" si="4"/>
        <v>11.151199999999999</v>
      </c>
      <c r="I36" s="60">
        <v>10.52</v>
      </c>
    </row>
    <row r="37" spans="1:9" ht="15.75" thickBot="1" x14ac:dyDescent="0.3">
      <c r="A37" s="72">
        <v>169</v>
      </c>
      <c r="B37" s="72" t="s">
        <v>55</v>
      </c>
      <c r="C37" s="72" t="s">
        <v>71</v>
      </c>
      <c r="D37" s="72" t="s">
        <v>57</v>
      </c>
      <c r="E37" s="72" t="s">
        <v>78</v>
      </c>
      <c r="F37" s="84" t="s">
        <v>98</v>
      </c>
      <c r="G37" s="84"/>
      <c r="H37" s="70">
        <f t="shared" si="4"/>
        <v>14.320599999999999</v>
      </c>
      <c r="I37" s="60">
        <v>13.51</v>
      </c>
    </row>
    <row r="38" spans="1:9" ht="15.75" thickBot="1" x14ac:dyDescent="0.3">
      <c r="A38" s="72">
        <v>170</v>
      </c>
      <c r="B38" s="72" t="s">
        <v>55</v>
      </c>
      <c r="C38" s="72" t="s">
        <v>73</v>
      </c>
      <c r="D38" s="72" t="s">
        <v>57</v>
      </c>
      <c r="E38" s="72" t="s">
        <v>79</v>
      </c>
      <c r="F38" s="84" t="s">
        <v>98</v>
      </c>
      <c r="G38" s="84"/>
      <c r="H38" s="70">
        <f t="shared" si="4"/>
        <v>20.648800000000001</v>
      </c>
      <c r="I38" s="60">
        <v>19.48</v>
      </c>
    </row>
    <row r="39" spans="1:9" x14ac:dyDescent="0.25">
      <c r="A39" s="76"/>
      <c r="B39" s="76"/>
      <c r="C39" s="76"/>
      <c r="D39" s="76"/>
      <c r="E39" s="76"/>
      <c r="F39" s="76"/>
      <c r="G39" s="76"/>
      <c r="H39" s="76"/>
    </row>
    <row r="40" spans="1:9" ht="15.75" thickBot="1" x14ac:dyDescent="0.3">
      <c r="A40" s="252" t="s">
        <v>80</v>
      </c>
      <c r="B40" s="252"/>
      <c r="C40" s="252"/>
      <c r="D40" s="252"/>
      <c r="E40" s="76"/>
      <c r="F40" s="76"/>
      <c r="G40" s="76"/>
      <c r="H40" s="76"/>
    </row>
    <row r="41" spans="1:9" ht="15.75" thickBot="1" x14ac:dyDescent="0.3">
      <c r="A41" s="72">
        <v>416</v>
      </c>
      <c r="B41" s="72" t="s">
        <v>55</v>
      </c>
      <c r="C41" s="72" t="s">
        <v>56</v>
      </c>
      <c r="D41" s="72" t="s">
        <v>57</v>
      </c>
      <c r="E41" s="72" t="s">
        <v>67</v>
      </c>
      <c r="F41" s="84" t="s">
        <v>98</v>
      </c>
      <c r="G41" s="84"/>
      <c r="H41" s="70">
        <f t="shared" ref="H41:H50" si="5">(I41*$I$7)+I41</f>
        <v>5.3529999999999998</v>
      </c>
      <c r="I41" s="62">
        <v>5.05</v>
      </c>
    </row>
    <row r="42" spans="1:9" ht="15.75" thickBot="1" x14ac:dyDescent="0.3">
      <c r="A42" s="72">
        <v>477</v>
      </c>
      <c r="B42" s="72" t="s">
        <v>55</v>
      </c>
      <c r="C42" s="72" t="s">
        <v>59</v>
      </c>
      <c r="D42" s="72" t="s">
        <v>57</v>
      </c>
      <c r="E42" s="72" t="s">
        <v>61</v>
      </c>
      <c r="F42" s="84" t="s">
        <v>98</v>
      </c>
      <c r="G42" s="84"/>
      <c r="H42" s="70">
        <f t="shared" si="5"/>
        <v>6.625</v>
      </c>
      <c r="I42" s="60">
        <v>6.25</v>
      </c>
    </row>
    <row r="43" spans="1:9" ht="15.75" thickBot="1" x14ac:dyDescent="0.3">
      <c r="A43" s="72">
        <v>420</v>
      </c>
      <c r="B43" s="72" t="s">
        <v>55</v>
      </c>
      <c r="C43" s="72" t="s">
        <v>60</v>
      </c>
      <c r="D43" s="72" t="s">
        <v>57</v>
      </c>
      <c r="E43" s="72" t="s">
        <v>87</v>
      </c>
      <c r="F43" s="84" t="s">
        <v>98</v>
      </c>
      <c r="G43" s="84"/>
      <c r="H43" s="70">
        <f t="shared" si="5"/>
        <v>7.5259999999999998</v>
      </c>
      <c r="I43" s="60">
        <v>7.1</v>
      </c>
    </row>
    <row r="44" spans="1:9" ht="15.75" thickBot="1" x14ac:dyDescent="0.3">
      <c r="A44" s="72">
        <v>424</v>
      </c>
      <c r="B44" s="72" t="s">
        <v>55</v>
      </c>
      <c r="C44" s="72" t="s">
        <v>62</v>
      </c>
      <c r="D44" s="72" t="s">
        <v>57</v>
      </c>
      <c r="E44" s="72" t="s">
        <v>88</v>
      </c>
      <c r="F44" s="84" t="s">
        <v>98</v>
      </c>
      <c r="G44" s="84"/>
      <c r="H44" s="70">
        <f t="shared" si="5"/>
        <v>9.7519999999999989</v>
      </c>
      <c r="I44" s="60">
        <v>9.1999999999999993</v>
      </c>
    </row>
    <row r="45" spans="1:9" ht="15.75" thickBot="1" x14ac:dyDescent="0.3">
      <c r="A45" s="72">
        <v>428</v>
      </c>
      <c r="B45" s="72" t="s">
        <v>55</v>
      </c>
      <c r="C45" s="72" t="s">
        <v>64</v>
      </c>
      <c r="D45" s="72" t="s">
        <v>57</v>
      </c>
      <c r="E45" s="72" t="s">
        <v>89</v>
      </c>
      <c r="F45" s="84" t="s">
        <v>98</v>
      </c>
      <c r="G45" s="84"/>
      <c r="H45" s="70">
        <f t="shared" si="5"/>
        <v>14.543200000000001</v>
      </c>
      <c r="I45" s="60">
        <v>13.72</v>
      </c>
    </row>
    <row r="46" spans="1:9" ht="15.75" thickBot="1" x14ac:dyDescent="0.3">
      <c r="A46" s="72">
        <v>418</v>
      </c>
      <c r="B46" s="72" t="s">
        <v>55</v>
      </c>
      <c r="C46" s="72" t="s">
        <v>66</v>
      </c>
      <c r="D46" s="72" t="s">
        <v>57</v>
      </c>
      <c r="E46" s="72" t="s">
        <v>90</v>
      </c>
      <c r="F46" s="84" t="s">
        <v>98</v>
      </c>
      <c r="G46" s="84"/>
      <c r="H46" s="70">
        <f t="shared" si="5"/>
        <v>7.42</v>
      </c>
      <c r="I46" s="60">
        <v>7</v>
      </c>
    </row>
    <row r="47" spans="1:9" ht="15.75" thickBot="1" x14ac:dyDescent="0.3">
      <c r="A47" s="72">
        <v>475</v>
      </c>
      <c r="B47" s="72" t="s">
        <v>55</v>
      </c>
      <c r="C47" s="72" t="s">
        <v>68</v>
      </c>
      <c r="D47" s="72" t="s">
        <v>57</v>
      </c>
      <c r="E47" s="72" t="s">
        <v>78</v>
      </c>
      <c r="F47" s="84" t="s">
        <v>98</v>
      </c>
      <c r="G47" s="84"/>
      <c r="H47" s="70">
        <f t="shared" si="5"/>
        <v>9.1372</v>
      </c>
      <c r="I47" s="60">
        <v>8.6199999999999992</v>
      </c>
    </row>
    <row r="48" spans="1:9" ht="15.75" thickBot="1" x14ac:dyDescent="0.3">
      <c r="A48" s="72">
        <v>422</v>
      </c>
      <c r="B48" s="72" t="s">
        <v>55</v>
      </c>
      <c r="C48" s="72" t="s">
        <v>69</v>
      </c>
      <c r="D48" s="72" t="s">
        <v>57</v>
      </c>
      <c r="E48" s="72" t="s">
        <v>88</v>
      </c>
      <c r="F48" s="84" t="s">
        <v>98</v>
      </c>
      <c r="G48" s="84"/>
      <c r="H48" s="70">
        <f t="shared" si="5"/>
        <v>10.801399999999999</v>
      </c>
      <c r="I48" s="60">
        <v>10.19</v>
      </c>
    </row>
    <row r="49" spans="1:9" ht="15.75" thickBot="1" x14ac:dyDescent="0.3">
      <c r="A49" s="72">
        <v>426</v>
      </c>
      <c r="B49" s="72" t="s">
        <v>55</v>
      </c>
      <c r="C49" s="72" t="s">
        <v>71</v>
      </c>
      <c r="D49" s="72" t="s">
        <v>57</v>
      </c>
      <c r="E49" s="72" t="s">
        <v>91</v>
      </c>
      <c r="F49" s="84" t="s">
        <v>98</v>
      </c>
      <c r="G49" s="84"/>
      <c r="H49" s="70">
        <f t="shared" si="5"/>
        <v>13.896599999999999</v>
      </c>
      <c r="I49" s="60">
        <v>13.11</v>
      </c>
    </row>
    <row r="50" spans="1:9" ht="15.75" thickBot="1" x14ac:dyDescent="0.3">
      <c r="A50" s="72">
        <v>430</v>
      </c>
      <c r="B50" s="72" t="s">
        <v>55</v>
      </c>
      <c r="C50" s="72" t="s">
        <v>73</v>
      </c>
      <c r="D50" s="72" t="s">
        <v>57</v>
      </c>
      <c r="E50" s="72" t="s">
        <v>92</v>
      </c>
      <c r="F50" s="84" t="s">
        <v>98</v>
      </c>
      <c r="G50" s="84"/>
      <c r="H50" s="70">
        <f t="shared" si="5"/>
        <v>20.044599999999999</v>
      </c>
      <c r="I50" s="60">
        <v>18.91</v>
      </c>
    </row>
    <row r="51" spans="1:9" x14ac:dyDescent="0.25">
      <c r="A51" s="32"/>
      <c r="F51" s="34"/>
      <c r="G51" s="34"/>
      <c r="H51" s="34"/>
      <c r="I51" s="61"/>
    </row>
    <row r="52" spans="1:9" x14ac:dyDescent="0.25">
      <c r="A52" s="205" t="s">
        <v>93</v>
      </c>
      <c r="B52" s="205"/>
      <c r="F52" s="34"/>
      <c r="G52" s="34"/>
      <c r="H52" s="34"/>
      <c r="I52" s="61"/>
    </row>
    <row r="53" spans="1:9" x14ac:dyDescent="0.25">
      <c r="A53" s="35" t="s">
        <v>94</v>
      </c>
      <c r="F53" s="63" t="s">
        <v>112</v>
      </c>
      <c r="H53" s="63"/>
      <c r="I53" s="63"/>
    </row>
  </sheetData>
  <mergeCells count="14">
    <mergeCell ref="A52:B52"/>
    <mergeCell ref="A1:I4"/>
    <mergeCell ref="A6:C6"/>
    <mergeCell ref="A7:A8"/>
    <mergeCell ref="B7:B8"/>
    <mergeCell ref="C7:C8"/>
    <mergeCell ref="D7:D8"/>
    <mergeCell ref="E7:E8"/>
    <mergeCell ref="I7:I8"/>
    <mergeCell ref="A13:C13"/>
    <mergeCell ref="A18:C18"/>
    <mergeCell ref="A23:C23"/>
    <mergeCell ref="A28:D28"/>
    <mergeCell ref="A40:D40"/>
  </mergeCells>
  <pageMargins left="0.511811024" right="0.511811024" top="0.78740157499999996" bottom="0.78740157499999996" header="0.31496062000000002" footer="0.3149606200000000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TAB 3%</vt:lpstr>
      <vt:lpstr>TAB 4%</vt:lpstr>
      <vt:lpstr>Tabela_3%</vt:lpstr>
      <vt:lpstr>Tabela_4%</vt:lpstr>
      <vt:lpstr>MedMais 3%</vt:lpstr>
      <vt:lpstr>MedMais 4%</vt:lpstr>
      <vt:lpstr>UltraTextil 3%</vt:lpstr>
      <vt:lpstr>UltraTextil 4%</vt:lpstr>
      <vt:lpstr>MedTextil 3%</vt:lpstr>
      <vt:lpstr>MedTextil 4%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fabio raimundo da silva</cp:lastModifiedBy>
  <cp:lastPrinted>2026-01-12T19:04:01Z</cp:lastPrinted>
  <dcterms:created xsi:type="dcterms:W3CDTF">2025-03-17T19:42:53Z</dcterms:created>
  <dcterms:modified xsi:type="dcterms:W3CDTF">2026-01-25T21:35:48Z</dcterms:modified>
</cp:coreProperties>
</file>