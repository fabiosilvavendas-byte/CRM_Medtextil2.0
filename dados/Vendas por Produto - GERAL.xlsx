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dados planilhas\"/>
    </mc:Choice>
  </mc:AlternateContent>
  <xr:revisionPtr revIDLastSave="0" documentId="13_ncr:1_{8611B5D1-CF0A-41FC-8EBF-D4D6DDC04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as por Produto - (Abril)" sheetId="1" r:id="rId1"/>
    <sheet name="Planilha1" sheetId="2" state="hidden" r:id="rId2"/>
  </sheets>
  <externalReferences>
    <externalReference r:id="rId3"/>
  </externalReferences>
  <definedNames>
    <definedName name="_xlnm._FilterDatabase" localSheetId="0" hidden="1">'Vendas por Produto - (Abril)'!$A$1:$I$79</definedName>
    <definedName name="DadosExternos_1" localSheetId="1" hidden="1">Planilha1!$A$1:$F$379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/>
  <c r="E42" i="1"/>
  <c r="E43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1" i="1"/>
  <c r="B42" i="1"/>
  <c r="B43" i="1"/>
  <c r="B44" i="1"/>
  <c r="B45" i="1"/>
  <c r="B46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3" i="1"/>
  <c r="B74" i="1"/>
  <c r="B76" i="1"/>
  <c r="B78" i="1"/>
  <c r="B2" i="1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G27" i="2"/>
  <c r="E27" i="2"/>
  <c r="G26" i="2"/>
  <c r="E26" i="2"/>
  <c r="G25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AA2E26-8FF4-4963-9ECB-F69E9CA322B2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<sst xmlns="http://schemas.openxmlformats.org/spreadsheetml/2006/main" count="1697" uniqueCount="384">
  <si>
    <t>CODGRUPO</t>
  </si>
  <si>
    <t>NOMEGRUPO</t>
  </si>
  <si>
    <t>NOMEFABR</t>
  </si>
  <si>
    <t>TOTQTD</t>
  </si>
  <si>
    <t>PRECOUNITMEDIO</t>
  </si>
  <si>
    <t>TOTLIQUIDO</t>
  </si>
  <si>
    <t>ATADURA DE CREPE 13 FIOS 10 X 1,20  PCT 12 FARMA C</t>
  </si>
  <si>
    <t>03</t>
  </si>
  <si>
    <t>PRODUTO FINAL</t>
  </si>
  <si>
    <t>MED MAIS</t>
  </si>
  <si>
    <t>ATADURA DE CREPE 13 FIOS 10 X 1,20  PCT 12 HOSPITALAR C</t>
  </si>
  <si>
    <t>ULTRA TEXTIL</t>
  </si>
  <si>
    <t>ATADURA DE CREPE 13 FIOS 10 X 1,20  PCT 12 HOSPITALAR E</t>
  </si>
  <si>
    <t>ATADURA DE CREPE 13 FIOS 10 X 1,80  PCT 12</t>
  </si>
  <si>
    <t>MED TEXTIL</t>
  </si>
  <si>
    <t>ATADURA DE CREPE 13 FIOS 10 X 1,80  PCT 12   FARMA C</t>
  </si>
  <si>
    <t>ATADURA DE CREPE 13 FIOS 10 X 1,80  PCT 12   HOSPITALAR C</t>
  </si>
  <si>
    <t>ATADURA DE CREPE 13 FIOS 10 X 1,80  PCT 12 - FARMA C</t>
  </si>
  <si>
    <t>ATADURA DE CREPE 13 FIOS 12 X 1,20  PCT 12 FARMA C</t>
  </si>
  <si>
    <t>ATADURA DE CREPE 13 FIOS 12 X 1,20  PCT 12 HOSPITALAR E</t>
  </si>
  <si>
    <t>ATADURA DE CREPE 13 FIOS 12 X 1,80  PCT 12</t>
  </si>
  <si>
    <t>ATADURA DE CREPE 13 FIOS 12 X 1,80  PCT 12  HOSPITALAR C</t>
  </si>
  <si>
    <t>ATADURA DE CREPE 13 FIOS 12 X 1,80  PCT 12 FARMA C</t>
  </si>
  <si>
    <t>ATADURA DE CREPE 13 FIOS 15 X 1,20  PCT 12  HOSPITALAR C</t>
  </si>
  <si>
    <t xml:space="preserve">ATADURA DE CREPE 13 FIOS 15 X 1,20  PCT 12 FARMA C </t>
  </si>
  <si>
    <t>ATADURA DE CREPE 13 FIOS 15 X 1,20  PCT 12 HOSP. C</t>
  </si>
  <si>
    <t>420</t>
  </si>
  <si>
    <t>ATADURA DE CREPE 13 FIOS 15 X 1,20  PCT 12 HOSPITALAR E</t>
  </si>
  <si>
    <t>ATADURA DE CREPE 13 FIOS 15 X 1,80  PCT 12   HOSPITALAR C</t>
  </si>
  <si>
    <t>ATADURA DE CREPE 13 FIOS 15 X 1,80  PCT 12  FARMA C</t>
  </si>
  <si>
    <t xml:space="preserve">ATADURA DE CREPE 13 FIOS 20 X 1,20  PCT 12  FARMA C </t>
  </si>
  <si>
    <t>ATADURA DE CREPE 13 FIOS 20 X 1,20  PCT 12  HOSPITALAR C</t>
  </si>
  <si>
    <t>ATADURA DE CREPE 13 FIOS 20 X 1,20  PCT 12  HOSPITALAR E</t>
  </si>
  <si>
    <t>ATADURA DE CREPE 13 FIOS 20 X 1,20  PCT 12 FARMA E</t>
  </si>
  <si>
    <t>ATADURA DE CREPE 13 FIOS 20 X 1,80  PCT 12   HOSPITALAR C</t>
  </si>
  <si>
    <t xml:space="preserve">ATADURA DE CREPE 13 FIOS 20 X 1,80  PCT 12  FARMA C </t>
  </si>
  <si>
    <t>ATADURA DE CREPE 13 FIOS 30 X 1,20  PCT 12  HOSPITALAR C</t>
  </si>
  <si>
    <t>ATADURA DE CREPE 13 FIOS 30 X 1,20  PCT 12  HOSPITALAR E</t>
  </si>
  <si>
    <t>ATADURA DE CREPE 13 FIOS 30 X 1,80  PCT 12 FARMA C</t>
  </si>
  <si>
    <t>170</t>
  </si>
  <si>
    <t>ATADURA DE CREPE 13 FIOS 30 X 1,80  PCT 12 FARMA E</t>
  </si>
  <si>
    <t>ATADURA DE CREPE 13 FIOS 8 X 1,20  PCT 12 FARMA C</t>
  </si>
  <si>
    <t>CAMPO OPERATORIO ESTERIL 25X28 - PCT 2 UND</t>
  </si>
  <si>
    <t>CAMPO OPERATORIO ESTERIL 25X28 - PCT 5 UND</t>
  </si>
  <si>
    <t>CAMPO OPERATORIO NAO ESTERIL 45X50 - PCT 50</t>
  </si>
  <si>
    <t>CAMPO OPERATORIO NAO ESTERIL 45X50 - PCT 50 UND</t>
  </si>
  <si>
    <t>CAMPO OPERATORIO NAO ESTERIL 45X50 S/ RX - PCT 50 UND</t>
  </si>
  <si>
    <t xml:space="preserve">GAZE  CIRCULAR NAO ESTERIL 09 FIOS </t>
  </si>
  <si>
    <t xml:space="preserve">GAZE CIRCULAR NAO ESTERIL 09 FIOS </t>
  </si>
  <si>
    <t xml:space="preserve">GAZE CIRCULAR NAO ESTERIL 11 FIOS </t>
  </si>
  <si>
    <t>GAZE CIRCULAR NAO ESTERIL 13 FIOS</t>
  </si>
  <si>
    <t>300</t>
  </si>
  <si>
    <t>GAZE CIRCULAR NAO ESTERIL 13 FIOS D</t>
  </si>
  <si>
    <t>GAZE CIRCULAR NAO ESTERIL 13 FIOS EA</t>
  </si>
  <si>
    <t>GAZE CIRCULAR NAO ESTERIL 13 FIOS GA</t>
  </si>
  <si>
    <t>GAZE CIRCULAR NAO ESTERIL 13 FIOS JA</t>
  </si>
  <si>
    <t>GAZE CIRCULAR NAO ESTERIL 13 FIOS OA</t>
  </si>
  <si>
    <t>GAZE ESTÉRIL 09 FIOS - PCT 10 UND</t>
  </si>
  <si>
    <t xml:space="preserve">GAZE ESTÉRIL 09 FIOS - PCT 10 UND </t>
  </si>
  <si>
    <t xml:space="preserve">GAZE ESTERIL 11 FIOS PCT 10 UND </t>
  </si>
  <si>
    <t xml:space="preserve">GAZE ESTÉRIL 11FIOS -  PCT 10 UND </t>
  </si>
  <si>
    <t xml:space="preserve">GAZE ESTÉRIL 11FIOS - PCT 10 UND </t>
  </si>
  <si>
    <t xml:space="preserve">GAZE ESTERIL 13 FIOS PCT 10 UND </t>
  </si>
  <si>
    <t xml:space="preserve">GAZE ESTÉRIL 13FIOS - PCT 10 UND </t>
  </si>
  <si>
    <t xml:space="preserve">GAZE NAO ESTÉRIL 09 FIOS </t>
  </si>
  <si>
    <t>GAZE NAO ESTÉRIL 09 FIOS - PCT 500 UND</t>
  </si>
  <si>
    <t>GAZE NAO ESTÉRIL 09 FIOS I</t>
  </si>
  <si>
    <t xml:space="preserve">GAZE NAO ESTÉRIL 11 FIOS </t>
  </si>
  <si>
    <t>GAZE NAO ESTÉRIL 11 FIOS BA - PCT 500 UND</t>
  </si>
  <si>
    <t xml:space="preserve">GAZE NAO ESTÉRIL 13 FIOS </t>
  </si>
  <si>
    <t>GAZE NAO ESTÉRIL 13 FIOS  - PCT 500 UND</t>
  </si>
  <si>
    <t>GAZE NAO ESTÉRIL 13 FIOS - PCT 500 UND</t>
  </si>
  <si>
    <t>GAZE NAO ESTÉRIL 13 FIOS IA</t>
  </si>
  <si>
    <t>ID_COD</t>
  </si>
  <si>
    <t>Grupo</t>
  </si>
  <si>
    <t>Linha</t>
  </si>
  <si>
    <t>Gramatura</t>
  </si>
  <si>
    <t>CX_EMB</t>
  </si>
  <si>
    <t>DESCRICAONF</t>
  </si>
  <si>
    <t>PRECO</t>
  </si>
  <si>
    <t>Med Mais</t>
  </si>
  <si>
    <t/>
  </si>
  <si>
    <t>Ultra Textil</t>
  </si>
  <si>
    <t xml:space="preserve">GAZE ESTERIL 09 FIOS ULTRA TEXTIL PCT 10 UND </t>
  </si>
  <si>
    <t>Med Textil</t>
  </si>
  <si>
    <t xml:space="preserve"> GAZE ESTÉRIL 13FIOS - PCT 10 UND </t>
  </si>
  <si>
    <t xml:space="preserve">CAMPO OPERATORIO ESTERIL 25X28 - PCT 2 UND </t>
  </si>
  <si>
    <t xml:space="preserve"> CAMPO OPERATORIO ESTERIL 25X28 - PCT 5 UND </t>
  </si>
  <si>
    <t xml:space="preserve">CAMPO OPERATORIO NAO ESTERIL 45X50 - PCT 50 </t>
  </si>
  <si>
    <t>70</t>
  </si>
  <si>
    <t>80</t>
  </si>
  <si>
    <t>90</t>
  </si>
  <si>
    <t xml:space="preserve">GAZE NAO ESTÉRIL 09 FIOS  </t>
  </si>
  <si>
    <t>110</t>
  </si>
  <si>
    <t>GAZE NAO ESTÉRIL 09 FIOS E</t>
  </si>
  <si>
    <t>120</t>
  </si>
  <si>
    <t>GAZE NAO ESTÉRIL 09 FIOS F</t>
  </si>
  <si>
    <t>130</t>
  </si>
  <si>
    <t>GAZE NAO ESTÉRIL 09 FIOS G</t>
  </si>
  <si>
    <t>140</t>
  </si>
  <si>
    <t>GAZE NAO ESTÉRIL 09 FIOS H</t>
  </si>
  <si>
    <t>150</t>
  </si>
  <si>
    <t>160</t>
  </si>
  <si>
    <t>GAZE NAO ESTÉRIL 09 FIOS J</t>
  </si>
  <si>
    <t>GAZE NAO ESTÉRIL 09 FIOS L</t>
  </si>
  <si>
    <t>180</t>
  </si>
  <si>
    <t>GAZE NAO ESTÉRIL 09 FIOS M</t>
  </si>
  <si>
    <t>190</t>
  </si>
  <si>
    <t>GAZE NAO ESTÉRIL 09 FIOS N</t>
  </si>
  <si>
    <t>200</t>
  </si>
  <si>
    <t>GAZE NAO ESTÉRIL 09 FIOS O</t>
  </si>
  <si>
    <t>210</t>
  </si>
  <si>
    <t>220</t>
  </si>
  <si>
    <t>GAZE NAO ESTÉRIL 09 FIOS B</t>
  </si>
  <si>
    <t>230</t>
  </si>
  <si>
    <t>240</t>
  </si>
  <si>
    <t>GAZE NAO ESTÉRIL 09 FIOS D</t>
  </si>
  <si>
    <t>250</t>
  </si>
  <si>
    <t>260</t>
  </si>
  <si>
    <t>270</t>
  </si>
  <si>
    <t>280</t>
  </si>
  <si>
    <t>290</t>
  </si>
  <si>
    <t>310</t>
  </si>
  <si>
    <t>320</t>
  </si>
  <si>
    <t>100</t>
  </si>
  <si>
    <t>GAZE NAO ESTÉRIL 11 FIOS E</t>
  </si>
  <si>
    <t>GAZE NAO ESTÉRIL 11 FIOS F</t>
  </si>
  <si>
    <t>GAZE NAO ESTÉRIL 11 FIOS H</t>
  </si>
  <si>
    <t>GAZE NAO ESTÉRIL 11 FIOS J</t>
  </si>
  <si>
    <t>GAZE NAO ESTÉRIL 11 FIOS N</t>
  </si>
  <si>
    <t>GAZE NAO ESTÉRIL 11 FIOS OA</t>
  </si>
  <si>
    <t xml:space="preserve"> GAZE NAO ESTÉRIL 11 FIOS B</t>
  </si>
  <si>
    <t>GAZE NAO ESTÉRIL 11 FIOS B</t>
  </si>
  <si>
    <t>GAZE NAO ESTÉRIL 11 FIOS CA</t>
  </si>
  <si>
    <t>GAZE NAO ESTÉRIL 11 FIOS DA</t>
  </si>
  <si>
    <t>GAZE NAO ESTÉRIL 11 FIOS EA</t>
  </si>
  <si>
    <t>GAZE NAO ESTÉRIL 11 FIOS GA</t>
  </si>
  <si>
    <t>GAZE NAO ESTÉRIL 11 FIOS HA</t>
  </si>
  <si>
    <t>GAZE NAO ESTÉRIL 11 FIOS IA</t>
  </si>
  <si>
    <t>330</t>
  </si>
  <si>
    <t>340</t>
  </si>
  <si>
    <t>GAZE NAO ESTÉRIL 11 FIOS L</t>
  </si>
  <si>
    <t>GAZE NAO ESTÉRIL 13 FIOS H</t>
  </si>
  <si>
    <t>GAZE NAO ESTÉRIL 13 FIOS JA</t>
  </si>
  <si>
    <t>GAZE NAO ESTÉRIL 13 FIOS L</t>
  </si>
  <si>
    <t>GAZE NAO ESTÉRIL 13 FIOS MA</t>
  </si>
  <si>
    <t>GAZE NAO ESTÉRIL 13 FIOS NA</t>
  </si>
  <si>
    <t>GAZE NAO ESTÉRIL 13 FIOS PA</t>
  </si>
  <si>
    <t xml:space="preserve"> GAZE NAO ESTÉRIL 13 FIOS - PCT 500 UND</t>
  </si>
  <si>
    <t>GAZE NAO ESTÉRIL 13 FIOS C</t>
  </si>
  <si>
    <t>GAZE NAO ESTÉRIL 13 FIOS DA</t>
  </si>
  <si>
    <t>GAZE NAO ESTÉRIL 13 FIOS E</t>
  </si>
  <si>
    <t>GAZE NAO ESTÉRIL 13 FIOS F</t>
  </si>
  <si>
    <t>GAZE NAO ESTÉRIL 13 FIOS G</t>
  </si>
  <si>
    <t>GAZE NAO ESTÉRIL 13 FIOS B</t>
  </si>
  <si>
    <t>GAZE NAO ESTÉRIL 13 FIOS D</t>
  </si>
  <si>
    <t xml:space="preserve">GAZE NAO ESTÉRIL 13 FIOS F </t>
  </si>
  <si>
    <t>GAZE CIRCULAR NAO ESTERIL 09 FIOS F</t>
  </si>
  <si>
    <t>GAZE CIRCULAR NAO ESTERIL 09 FIOS G</t>
  </si>
  <si>
    <t>GAZE CIRCULAR NAO ESTERIL 09 FIOS H</t>
  </si>
  <si>
    <t>GAZE CIRCULAR NAO ESTERIL 09 FIOS I</t>
  </si>
  <si>
    <t>GAZE CIRCULAR NAO ESTERIL 09 FIOS J</t>
  </si>
  <si>
    <t>GAZE CIRCULAR NAO ESTERIL 09 FIOS L</t>
  </si>
  <si>
    <t>GAZE CIRCULAR NAO ESTERIL 09 FIOS M</t>
  </si>
  <si>
    <t>GAZE CIRCULAR NAO ESTERIL 09 FIOS N</t>
  </si>
  <si>
    <t>GAZE CIRCULAR NAO ESTERIL 09 FIOS O</t>
  </si>
  <si>
    <t>GAZE CIRCULAR NAO ESTERIL 09 FIOS P</t>
  </si>
  <si>
    <t>GAZE CIRCULAR NAO ESTERIL 09 FIOS Q</t>
  </si>
  <si>
    <t>GAZE CIRCULAR NAO ESTERIL 09 FIOS R</t>
  </si>
  <si>
    <t xml:space="preserve">GAZE CIRCULAR NAO ESTERIL 09 FIOS A  </t>
  </si>
  <si>
    <t>350</t>
  </si>
  <si>
    <t>GAZE CIRCULAR NAO ESTERIL 09 FIOS B</t>
  </si>
  <si>
    <t>360</t>
  </si>
  <si>
    <t>GAZE CIRCULAR NAO ESTERIL 09 FIOS C</t>
  </si>
  <si>
    <t>370</t>
  </si>
  <si>
    <t>380</t>
  </si>
  <si>
    <t>GAZE CIRCULAR NAO ESTERIL 09 FIOS E</t>
  </si>
  <si>
    <t>390</t>
  </si>
  <si>
    <t>GAZE  CIRCULAR NAO ESTERIL 09 FIOS F</t>
  </si>
  <si>
    <t>400</t>
  </si>
  <si>
    <t>410</t>
  </si>
  <si>
    <t>GAZE  CIRCULAR NAO ESTERIL 09 FIOS H</t>
  </si>
  <si>
    <t>GAZE CIRCULAR NAO ESTERIL 09 FIOS A</t>
  </si>
  <si>
    <t xml:space="preserve">GAZE CIRCULAR NAO ESTERIL 11 FIOS  </t>
  </si>
  <si>
    <t>GAZE CIRCULAR NAO ESTERIL 11 FIOS FA</t>
  </si>
  <si>
    <t>GAZE CIRCULAR NAO ESTERIL 11 FIOS GA</t>
  </si>
  <si>
    <t>GAZE CIRCULAR NAO ESTERIL 11 FIOS IA</t>
  </si>
  <si>
    <t>GAZE CIRCULAR NAO ESTERIL 11 FIOS JA</t>
  </si>
  <si>
    <t>GAZE CIRCULAR NAO ESTERIL 11 FIOS LA</t>
  </si>
  <si>
    <t>315</t>
  </si>
  <si>
    <t>GAZE CIRCULAR NAO ESTERIL 11 FIOS MA</t>
  </si>
  <si>
    <t>GAZE CIRCULAR NAO ESTERIL 11 FIOS NA</t>
  </si>
  <si>
    <t>GAZE CIRCULAR NAO ESTERIL 11 FIOS OA</t>
  </si>
  <si>
    <t xml:space="preserve">CIRCULAR NAO ESTERIL 11 FIOS </t>
  </si>
  <si>
    <t>GAZE CIRCULAR NAO ESTERIL 11 FIOS BA</t>
  </si>
  <si>
    <t>GAZE CIRCULAR NAO ESTERIL 11 FIOS CA</t>
  </si>
  <si>
    <t>GAZE CIRCULAR NAO ESTERIL 11 FIOS DA</t>
  </si>
  <si>
    <t>GAZE CIRCULAR NAO ESTERIL 11 FIOS G</t>
  </si>
  <si>
    <t>GAZE  CIRCULAR NAO ESTERIL 11 FIOS H</t>
  </si>
  <si>
    <t>Medtextil</t>
  </si>
  <si>
    <t>GAZE CIRCULAR NAO ESTERIL 11 FIOS A</t>
  </si>
  <si>
    <t>GAZE CIRCULAR NAO ESTERIL 11 FIOS B</t>
  </si>
  <si>
    <t xml:space="preserve">CIRCULAR NAO ESTERIL 13 FIOS  </t>
  </si>
  <si>
    <t xml:space="preserve">GAZE CIRCULAR NAO ESTERIL 13 FIOS </t>
  </si>
  <si>
    <t>GAZE CIRCULAR NAO ESTERIL 13 FIOS FA</t>
  </si>
  <si>
    <t>GAZE CIRCULAR NAO ESTERIL 13 FIOS HA</t>
  </si>
  <si>
    <t>GAZE CIRCULAR NAO ESTERIL 13 FIOS LA</t>
  </si>
  <si>
    <t>GAZE CIRCULAR NAO ESTERIL 13 FIOS MA</t>
  </si>
  <si>
    <t>GAZE CIRCULAR NAO ESTERIL 13 FIOS NA</t>
  </si>
  <si>
    <t>GAZE CIRCULAR NAO ESTERIL 13 FIOS QA</t>
  </si>
  <si>
    <t>GAZE CIRCULAR NAO ESTERIL 13 FIOS RA</t>
  </si>
  <si>
    <t>GAZE CIRCULAR NAO ESTERIL 13 FIOS AA</t>
  </si>
  <si>
    <t>GAZE CIRCULAR NAO ESTERIL 13 FIOS BA</t>
  </si>
  <si>
    <t>GAZE CIRCULAR NAO ESTERIL 13 FIOS CA</t>
  </si>
  <si>
    <t>GAZE CIRCULAR NAO ESTERIL 13 FIOS E</t>
  </si>
  <si>
    <t>430</t>
  </si>
  <si>
    <t>GAZE CIRCULAR NAO ESTERIL 13 FIOS F</t>
  </si>
  <si>
    <t>440</t>
  </si>
  <si>
    <t>GAZE CIRCULAR NAO ESTERIL 13 FIOS G</t>
  </si>
  <si>
    <t>450</t>
  </si>
  <si>
    <t>GAZE CIRCULAR NAO ESTERIL 13 FIOS H</t>
  </si>
  <si>
    <t>GAZE CIRCULAR NAO ESTERIL 13 FIOS A</t>
  </si>
  <si>
    <t>Med Mais - COMBATE (A)</t>
  </si>
  <si>
    <t xml:space="preserve"> ATADURA DE CREPE 13 FIOS 15 X 1,20  PCT 12 FARMA C</t>
  </si>
  <si>
    <t xml:space="preserve"> ATADURA DE CREPE 13 FIOS 20 X 1,20  PCT 12 FARMA C</t>
  </si>
  <si>
    <t xml:space="preserve"> ATADURA DE CREPE 13 FIOS 30 X 1,20  PCT 12 FARMA C</t>
  </si>
  <si>
    <t xml:space="preserve"> ATADURA DE CREPE 13 FIOS 15 X 1,80  PCT 12 FARMA C</t>
  </si>
  <si>
    <t xml:space="preserve"> ATADURA DE CREPE 13 FIOS 20 X 1,80  PCT 12 FARMA C</t>
  </si>
  <si>
    <t xml:space="preserve"> ATADURA DE CREPE 13 FIOS 30 X 1,80  PCT 12 FARMA C</t>
  </si>
  <si>
    <t>Med Mais - EXTRA (B)</t>
  </si>
  <si>
    <t>ATADURA DE CREPE 13 FIOS 10 X 1,20  PCT 12 FARMA E</t>
  </si>
  <si>
    <t xml:space="preserve"> ATADURA DE CREPE 13 FIOS 12 X 1,20  PCT 12 FARMA E</t>
  </si>
  <si>
    <t>ATADURA DE CREPE 13 FIOS 15 X 1,20  PCT 12 FARMA E</t>
  </si>
  <si>
    <t xml:space="preserve"> ATADURA DE CREPE 13 FIOS 20 X 1,20  PCT 12 FARMA E</t>
  </si>
  <si>
    <t xml:space="preserve"> ATADURA DE CREPE 13 FIOS 30 X 1,20  PCT 12 FARMA E</t>
  </si>
  <si>
    <t xml:space="preserve"> ATADURA DE CREPE 13 FIOS 10 X 1,80  PCT 12 FARMA E</t>
  </si>
  <si>
    <t xml:space="preserve"> ATADURA DE CREPE 13 FIOS 12 X 1,80  PCT 12 FARMA E</t>
  </si>
  <si>
    <t xml:space="preserve"> ATADURA DE CREPE 13 FIOS 15 X 1,80  PCT 12 FARMA E</t>
  </si>
  <si>
    <t xml:space="preserve"> ATADURA DE CREPE 13 FIOS 20 X 1,80  PCT 12 FARMA E</t>
  </si>
  <si>
    <t xml:space="preserve"> ATADURA DE CREPE 13 FIOS 30 X 1,80  PCT 12 FARMA E</t>
  </si>
  <si>
    <t>Ultra Textil - COMBATE (A)</t>
  </si>
  <si>
    <t>ATADURA DE CREPE 13 FIOS 30 X 1,20  PCT 12  FARMA C</t>
  </si>
  <si>
    <t>Ultra Textil - EXTRA (B)</t>
  </si>
  <si>
    <t>ATADURA DE CREPE 13 FIOS 12 X 1,20  PCT 12 FARMA E</t>
  </si>
  <si>
    <t>ATADURA DE CREPE 13 FIOS 30 X 1,20  PCT 12 FARMA E</t>
  </si>
  <si>
    <t>ATADURA DE CREPE 13 FIOS 10 X 1,80  PCT 12 FARMA E</t>
  </si>
  <si>
    <t>ATADURA DE CREPE 13 FIOS 12 X 1,80  PCT 12 FARMA E</t>
  </si>
  <si>
    <t>ATADURA DE CREPE13 FIOS 15 X 1,80  PCT 12 FARMA E</t>
  </si>
  <si>
    <t>ATADURA DE CREPE13 FIOS 20 X 1,80  PCT 12 FARMA E</t>
  </si>
  <si>
    <t>Med Textil - COMBATE (A)</t>
  </si>
  <si>
    <t>ATADURA DE CREPE 13 FIOS 10 X 1,20  PCT 12</t>
  </si>
  <si>
    <t xml:space="preserve"> ATADURA DE CREPE 13 FIOS 12 X 1,20  PCT 12</t>
  </si>
  <si>
    <t xml:space="preserve"> ATADURA DE CREPE 13 FIOS 15 X 1,20  PCT 12</t>
  </si>
  <si>
    <t>ATADURA DE CREPE 13 FIOS 20 X 1,20  PCT 12</t>
  </si>
  <si>
    <t xml:space="preserve"> ATADURA DE CREPE 13 FIOS 30 X 1,20  PCT 12</t>
  </si>
  <si>
    <t xml:space="preserve"> ATADURA DE CREPE 13 FIOS 10 X 1,80  PCT 12</t>
  </si>
  <si>
    <t>ATADURA DE CREPE 13 FIOS 15 X 1,80  PCT 12</t>
  </si>
  <si>
    <t xml:space="preserve"> ATADURA DE CREPE 13 FIOS 20 X 1,80  PCT 12</t>
  </si>
  <si>
    <t xml:space="preserve"> ATADURA DE CREPE 13 FIOS 30 X 1,80  PCT 12</t>
  </si>
  <si>
    <t>Med Textil - EXTRA (B)</t>
  </si>
  <si>
    <t xml:space="preserve">ATADURA DE CREPE 13 FIOS 8 X 1,20  PCT 12 </t>
  </si>
  <si>
    <t xml:space="preserve"> ATADURA DE CREPE 13 FIOS 10 X 1,20  PCT 12</t>
  </si>
  <si>
    <t xml:space="preserve"> ATADURA DE CREPE 13 FIOS 20 X 1,20  PCT 12</t>
  </si>
  <si>
    <t xml:space="preserve"> ATADURA DE CREPE 13 FIOS 12 X 1,80  PCT 12</t>
  </si>
  <si>
    <t xml:space="preserve"> ATADURA DE CREPE13 FIOS 15 X 1,80  PCT 12 </t>
  </si>
  <si>
    <t xml:space="preserve"> ATADURA DE CREPE13 FIOS 20 X 1,80  PCT 12 </t>
  </si>
  <si>
    <t>ATADURA DE CREPE 13 FIOS 30 X 1,80  PCT 12</t>
  </si>
  <si>
    <t xml:space="preserve"> ATADURA DE CREPE 13 FIOS 10 X 1,20  PCT 12 HOSP. C</t>
  </si>
  <si>
    <t xml:space="preserve"> ATADURA DE CREPE 13 FIOS 12 X 1,20  PCT 12 HOSP. C</t>
  </si>
  <si>
    <t>ATADURA DE CREPE 13 FIOS 20 X 1,20  PCT 12 HOSP. C</t>
  </si>
  <si>
    <t xml:space="preserve"> ATADURA DE CREPE 13 FIOS 30 X 1,20  PCT 12 HOSP. C</t>
  </si>
  <si>
    <t>ATADURA DE CREPE 13 FIOS 10 X 1,80  PCT 12 HOSP. C</t>
  </si>
  <si>
    <t xml:space="preserve"> ATADURA DE CREPE 13 FIOS 12 X 1,80  PCT 12 HOSP. C</t>
  </si>
  <si>
    <t xml:space="preserve"> ATADURA DE CREPE 13 FIOS 15 X 1,80  PCT 12 HOSP. C</t>
  </si>
  <si>
    <t xml:space="preserve"> ATADURA DE CREPE 13 FIOS 20 X 1,80  PCT 12 HOSP. C</t>
  </si>
  <si>
    <t>ATADURA DE CREPE 13 FIOS 30 X 1,80  PCT 12 HOSP. C</t>
  </si>
  <si>
    <t>ATADURA DE CREPE 13 FIOS 10 X 1,20  PCT 12 HOSP. E</t>
  </si>
  <si>
    <t xml:space="preserve"> ATADURA DE CREPE 13 FIOS 12 X 1,20  PCT 12 HOSP. E</t>
  </si>
  <si>
    <t xml:space="preserve"> ATADURA DE CREPE 13 FIOS 15 X 1,20  PCT 12 HOSP. E</t>
  </si>
  <si>
    <t xml:space="preserve"> ATADURA DE CREPE 13 FIOS 20 X 1,20  PCT 12 HOSP. E</t>
  </si>
  <si>
    <t xml:space="preserve"> ATADURA DE CREPE 13 FIOS 30 X 1,20  PCT 12 HOSP. E</t>
  </si>
  <si>
    <t>ATADURA DE CREPE 13 FIOS 10 X 1,80  PCT 12 HOSP. E</t>
  </si>
  <si>
    <t>ATADURA DE CREPE 13 FIOS 12 X 1,80  PCT 12 HOSP. E</t>
  </si>
  <si>
    <t>ATADURA DE CREPE 13 FIOS 15 X 1,80  PCT 12 HOSP. E</t>
  </si>
  <si>
    <t xml:space="preserve"> ATADURA DE CREPE 13 FIOS 20 X 1,80  PCT 12 HOSP. E</t>
  </si>
  <si>
    <t>ATADURA DE CREPE 13 FIOS 30 X 1,80  PCT 12 HOSP. E</t>
  </si>
  <si>
    <t>ATADURA DE CREPE 13 FIOS 12 X 1,20  PCT 12  HOSPITALAR C</t>
  </si>
  <si>
    <t>ATADURA DE CREPE 13 FIOS 30 X 1,80  PCT 12   HOSPITALAR C</t>
  </si>
  <si>
    <t>ATADURA DE CREPE 13 FIOS 10 X 1,80  PCT 12   HOSPITALAR E</t>
  </si>
  <si>
    <t>ATADURA DE CREPE 13 FIOS 12 X 1,80  PCT 12  HOSPITALAR E</t>
  </si>
  <si>
    <t>ATADURA DE CREPE 13 FIOS 15 X 1,80  PCT 12  HOSPITALAR E</t>
  </si>
  <si>
    <t>ATADURA DE CREPE 13 FIOS 20 X 1,80  PCT 12  HOSPITALAR E</t>
  </si>
  <si>
    <t>ATADURA DE CREPE 13 FIOS 30 X 1,80  PCT 12  HOSPITALAR E</t>
  </si>
  <si>
    <t>ATADURA DE CREPE 13 FIOS 12 X 1,20  PCT 12</t>
  </si>
  <si>
    <t xml:space="preserve"> ATADURA DE CREPE 13 FIOS 15 X 1,80  PCT 12</t>
  </si>
  <si>
    <t>ATADURA DE CREPE 13 FIOS 15 X 1,20  PCT 12</t>
  </si>
  <si>
    <t>Conviva (Marca Própria)</t>
  </si>
  <si>
    <t>GAZE ESTÉRIL 13FIOS - CONVIVA - PCT 10 UND</t>
  </si>
  <si>
    <t>Bcmed (Marca Própria)</t>
  </si>
  <si>
    <t>GAZE ESTÉRIL 13FIOS - BC MED - PCT 10 UND</t>
  </si>
  <si>
    <t>MedLife (Marca Própria)</t>
  </si>
  <si>
    <t>GAZE ESTÉRIL 13FIOS - MEDLIFE - PCT 10 UND</t>
  </si>
  <si>
    <t>TECIDO DE ALGODAO ALVEJADO 11 FIOS</t>
  </si>
  <si>
    <t>COMPRESSA NÃO ESTÉRIL – 9 FIOSCOMPRESSA 9 FIOS</t>
  </si>
  <si>
    <t>COMPRESSA NÃO ESTÉRIL – 11 FIOSCOMPRESSA 11 FIOS</t>
  </si>
  <si>
    <t>COMPRESSA NÃO ESTÉRIL – 11 FIOSCOMPRESSA DE GAZE 11F</t>
  </si>
  <si>
    <t>COMPRESSA NÃO ESTÉRIL – 13 FIOSCOMPRESSA 13 FIOS</t>
  </si>
  <si>
    <t>GAZE EM ROLO – 9 FIOSROLO 9 FIOS</t>
  </si>
  <si>
    <t>GAZE EM ROLO – 11 FIOSROLO 11 FIOS</t>
  </si>
  <si>
    <t>GAZE EM ROLO – 13 FIOSROLO 13 FIOS</t>
  </si>
  <si>
    <t>ATADURAS LINHA FARMA20 X 1,20</t>
  </si>
  <si>
    <t>ATADURAS LINHA FARMA25 X 1,20</t>
  </si>
  <si>
    <t>ATADURAS LINHA FARMA30 X 1,20</t>
  </si>
  <si>
    <t>ATADURAS LINHA FARMA8 X 1,80</t>
  </si>
  <si>
    <t>ATADURAS LINHA FARMA10 X 1,80</t>
  </si>
  <si>
    <t>ATADURAS LINHA FARMA12 X 1,80</t>
  </si>
  <si>
    <t>ATADURAS LINHA FARMA15 X 1,80</t>
  </si>
  <si>
    <t>ATADURAS LINHA FARMA20 X 1,80</t>
  </si>
  <si>
    <t>ATADURAS LINHA FARMA25 X 1,80</t>
  </si>
  <si>
    <t>ATADURAS LINHA FARMA30 X 1,80</t>
  </si>
  <si>
    <t>ATADURAS LINHA FARMA8 X 1,00</t>
  </si>
  <si>
    <t>ATADURAS LINHA FARMA10 X 1,00</t>
  </si>
  <si>
    <t>ATADURAS LINHA FARMA12 X 1,00</t>
  </si>
  <si>
    <t>ATADURAS LINHA FARMA15 X 1,00</t>
  </si>
  <si>
    <t>ATADURAS LINHA FARMA20 X 1,00</t>
  </si>
  <si>
    <t>ATADURAS LINHA FARMA25 X 1,00</t>
  </si>
  <si>
    <t>ATADURAS LINHA FARMA30 X 1,00</t>
  </si>
  <si>
    <t>ATADURAS LINHA FARMA8 X 1,50</t>
  </si>
  <si>
    <t>ATADURAS LINHA FARMA10 X 1,50</t>
  </si>
  <si>
    <t>ATADURAS LINHA FARMA12 X 1,50</t>
  </si>
  <si>
    <t>ATADURAS LINHA FARMA15 X 1,50</t>
  </si>
  <si>
    <t>ATADURAS LINHA FARMA20 X 1,50</t>
  </si>
  <si>
    <t>ATADURAS LINHA FARMA25 X 1,50</t>
  </si>
  <si>
    <t>ATADURAS LINHA FARMA30 X 1,50</t>
  </si>
  <si>
    <t>ATADURAS LINHA FARMA8 X 1,20</t>
  </si>
  <si>
    <t>ATADURAS LINHA FARMA10 X 1,20</t>
  </si>
  <si>
    <t>ATADURAS LINHA FARMA12 X 1,20</t>
  </si>
  <si>
    <t>ATADURAS LINHA FARMA15 X 1,20</t>
  </si>
  <si>
    <t>ATADURAS LINHA HOSPITALAR20 X 1,20</t>
  </si>
  <si>
    <t>ATADURAS LINHA HOSPITALAR25 X 1,20</t>
  </si>
  <si>
    <t>ATADURAS LINHA HOSPITALAR30 X 1,20</t>
  </si>
  <si>
    <t>ATADURAS LINHA HOSPITALAR8 X 1,80</t>
  </si>
  <si>
    <t>ATADURAS LINHA HOSPITALAR10 X 1,80</t>
  </si>
  <si>
    <t>ATADURAS LINHA HOSPITALAR12 X 1,80</t>
  </si>
  <si>
    <t>ATADURAS LINHA HOSPITALAR15 X 1,80</t>
  </si>
  <si>
    <t>ATADURAS LINHA HOSPITALAR20 X 1,80</t>
  </si>
  <si>
    <t>ATADURAS LINHA HOSPITALAR25 X 1,80</t>
  </si>
  <si>
    <t>ATADURAS LINHA HOSPITALAR30 X 1,80</t>
  </si>
  <si>
    <t>ATADURAS LINHA HOSPITALAR8 X 1,00</t>
  </si>
  <si>
    <t>ATADURAS LINHA HOSPITALAR10 X 1,00</t>
  </si>
  <si>
    <t>ATADURAS LINHA HOSPITALAR12 X 1,00</t>
  </si>
  <si>
    <t>ATADURAS LINHA HOSPITALAR15 X 1,00</t>
  </si>
  <si>
    <t>ATADURAS LINHA HOSPITALAR20 X 1,00</t>
  </si>
  <si>
    <t>ATADURAS LINHA HOSPITALAR25 X 1,00</t>
  </si>
  <si>
    <t>ATADURAS LINHA HOSPITALAR30 X 1,00</t>
  </si>
  <si>
    <t>ATADURAS LINHA HOSPITALAR8 X 1,50</t>
  </si>
  <si>
    <t>ATADURAS LINHA HOSPITALAR10 X 1,50</t>
  </si>
  <si>
    <t>ATADURAS LINHA HOSPITALAR12 X 1,50</t>
  </si>
  <si>
    <t>ATADURAS LINHA HOSPITALAR15 X 1,50</t>
  </si>
  <si>
    <t>ATADURAS LINHA HOSPITALAR20 X 1,50</t>
  </si>
  <si>
    <t>ATADURAS LINHA HOSPITALAR25 X 1,50</t>
  </si>
  <si>
    <t>ATADURAS LINHA HOSPITALAR30 X 1,50</t>
  </si>
  <si>
    <t>ATADURAS LINHA HOSPITALAR8 X 1,20</t>
  </si>
  <si>
    <t>ATADURAS LINHA HOSPITALAR10 X 1,20</t>
  </si>
  <si>
    <t>ATADURAS LINHA HOSPITALAR12 X 1,20</t>
  </si>
  <si>
    <t>ATADURAS LINHA HOSPITALAR15 X 1,20</t>
  </si>
  <si>
    <t>COMPRESSA ESTÉRILEstéril 9 fios</t>
  </si>
  <si>
    <t>COMPRESSA ESTÉRILEstéril 11 fios</t>
  </si>
  <si>
    <t>COMPRESSA ESTÉRILEstéril 13 fios</t>
  </si>
  <si>
    <t>CAMPOS OPERATÓRIOSCAMPO C/ 2</t>
  </si>
  <si>
    <t>CAMPOS OPERATÓRIOSCAMPO C/ 5</t>
  </si>
  <si>
    <t>CAMPOS OPERATÓRIOSCAMPO 45 X 50</t>
  </si>
  <si>
    <t>COMPRESSA ESTÉRILESTÉRIL 13 FIOS CONVIVA</t>
  </si>
  <si>
    <t>COMPRESSA ESTÉRILESTÉRIL 13 FIOS BC MED</t>
  </si>
  <si>
    <t>COMPRESSA ESTÉRILESTÉRIL 13 FIOS MEDLIFE</t>
  </si>
  <si>
    <t>TECIDO DE ALGODAO ALVEJADO 11 FIOSTECIDO DE ALGODAO ALVEJADO 11 FIOS</t>
  </si>
  <si>
    <t>GAZE NAO ESTERIL 13 FIOS COMPRESSA 13 FIOS</t>
  </si>
  <si>
    <t>GAZE CIRCULAR NAO ESTERIL 13 FIOSROLO 13 FIOS</t>
  </si>
  <si>
    <t>GAZE CIRCULAR NAO ESTERIL 13 FIOS ROLO 13 FIOS</t>
  </si>
  <si>
    <t>GAZE CIRCULAR NAO ESTERIL 11 FIOS ROLO 11 FIOS</t>
  </si>
  <si>
    <t>CAMPO OPERATORIO NAO ESTERIL 45X50 S/ RX - PCT 50 UNDCAMPO 45 X 50</t>
  </si>
  <si>
    <t>CodProd</t>
  </si>
  <si>
    <t>NomeProd</t>
  </si>
  <si>
    <t>Gramat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</si>
</sst>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gramas&quot;"/>
  </numFmts>
  <fonts count="5" x14ac:knownFonts="1">
    <font>
      <sz val="11"/>
      <name val="Calibri"/>
      <charset val="1"/>
    </font>
    <font>
      <sz val="8"/>
      <color rgb="FF000000"/>
      <name val="Arial"/>
      <charset val="1"/>
    </font>
    <font>
      <sz val="8"/>
      <color rgb="FF000000"/>
      <name val="Segoe UI"/>
      <charset val="1"/>
    </font>
    <font>
      <sz val="11"/>
      <name val="Calibri"/>
      <charset val="1"/>
    </font>
    <font>
      <sz val="8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11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4" borderId="3" xfId="0" applyNumberFormat="1" applyFont="1" applyFill="1" applyBorder="1" applyAlignment="1" applyProtection="1">
      <alignment horizontal="left" vertical="top" wrapText="1"/>
    </xf>
    <xf numFmtId="164" fontId="0" fillId="0" borderId="0" xfId="0" applyNumberFormat="1"/>
    <xf numFmtId="44" fontId="0" fillId="0" borderId="0" xfId="1" applyFont="1"/>
    <xf numFmtId="1" fontId="0" fillId="0" borderId="0" xfId="0" applyNumberFormat="1" applyAlignment="1">
      <alignment horizontal="left"/>
    </xf>
    <xf numFmtId="44" fontId="0" fillId="0" borderId="0" xfId="1" applyFont="1" applyFill="1"/>
    <xf numFmtId="0" fontId="0" fillId="0" borderId="0" xfId="0" applyNumberFormat="1"/>
    <xf numFmtId="0" fontId="1" fillId="2" borderId="4" xfId="0" applyNumberFormat="1" applyFont="1" applyFill="1" applyBorder="1" applyAlignment="1" applyProtection="1">
      <alignment horizontal="left" vertical="top" wrapText="1"/>
    </xf>
    <xf numFmtId="0" fontId="2" fillId="3" borderId="4" xfId="0" applyNumberFormat="1" applyFont="1" applyFill="1" applyBorder="1" applyAlignment="1" applyProtection="1">
      <alignment horizontal="left" vertical="top" wrapText="1"/>
    </xf>
    <xf numFmtId="1" fontId="0" fillId="0" borderId="0" xfId="0" applyNumberForma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44" fontId="4" fillId="0" borderId="7" xfId="1" applyFont="1" applyFill="1" applyBorder="1" applyAlignment="1" applyProtection="1">
      <alignment horizontal="left" vertical="top" wrapText="1"/>
    </xf>
    <xf numFmtId="44" fontId="1" fillId="0" borderId="1" xfId="1" applyFont="1" applyFill="1" applyBorder="1" applyAlignment="1" applyProtection="1">
      <alignment horizontal="right" vertical="top" wrapText="1"/>
    </xf>
    <xf numFmtId="44" fontId="2" fillId="0" borderId="1" xfId="1" applyFont="1" applyFill="1" applyBorder="1" applyAlignment="1" applyProtection="1">
      <alignment horizontal="right" vertical="top" wrapText="1"/>
    </xf>
    <xf numFmtId="44" fontId="1" fillId="4" borderId="1" xfId="1" applyFont="1" applyFill="1" applyBorder="1" applyAlignment="1" applyProtection="1">
      <alignment horizontal="right" vertical="top" wrapText="1"/>
    </xf>
    <xf numFmtId="44" fontId="1" fillId="2" borderId="0" xfId="1" applyFont="1" applyFill="1" applyBorder="1" applyAlignment="1" applyProtection="1">
      <alignment horizontal="left" vertical="top" wrapText="1"/>
    </xf>
    <xf numFmtId="1" fontId="4" fillId="0" borderId="6" xfId="0" applyNumberFormat="1" applyFont="1" applyFill="1" applyBorder="1" applyAlignment="1" applyProtection="1">
      <alignment horizontal="left" vertical="top" wrapText="1"/>
    </xf>
    <xf numFmtId="1" fontId="1" fillId="0" borderId="1" xfId="0" applyNumberFormat="1" applyFont="1" applyFill="1" applyBorder="1" applyAlignment="1" applyProtection="1">
      <alignment horizontal="right" vertical="top" wrapText="1"/>
    </xf>
    <xf numFmtId="1" fontId="2" fillId="0" borderId="1" xfId="0" applyNumberFormat="1" applyFont="1" applyFill="1" applyBorder="1" applyAlignment="1" applyProtection="1">
      <alignment horizontal="right" vertical="top" wrapText="1"/>
    </xf>
    <xf numFmtId="1" fontId="1" fillId="0" borderId="9" xfId="0" applyNumberFormat="1" applyFont="1" applyFill="1" applyBorder="1" applyAlignment="1" applyProtection="1">
      <alignment horizontal="right" vertical="top" wrapText="1"/>
    </xf>
    <xf numFmtId="1" fontId="1" fillId="4" borderId="1" xfId="0" applyNumberFormat="1" applyFont="1" applyFill="1" applyBorder="1" applyAlignment="1" applyProtection="1">
      <alignment horizontal="right" vertical="top" wrapText="1"/>
    </xf>
    <xf numFmtId="1" fontId="1" fillId="2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0" fontId="2" fillId="0" borderId="4" xfId="0" applyNumberFormat="1" applyFont="1" applyFill="1" applyBorder="1" applyAlignment="1" applyProtection="1">
      <alignment horizontal="center" vertical="top" wrapText="1"/>
    </xf>
    <xf numFmtId="0" fontId="1" fillId="0" borderId="8" xfId="0" applyNumberFormat="1" applyFont="1" applyFill="1" applyBorder="1" applyAlignment="1" applyProtection="1">
      <alignment horizontal="center" vertical="top" wrapText="1"/>
    </xf>
    <xf numFmtId="44" fontId="4" fillId="0" borderId="6" xfId="1" applyFont="1" applyFill="1" applyBorder="1" applyAlignment="1" applyProtection="1">
      <alignment vertical="top" wrapText="1"/>
    </xf>
    <xf numFmtId="44" fontId="1" fillId="0" borderId="1" xfId="1" applyFont="1" applyFill="1" applyBorder="1" applyAlignment="1" applyProtection="1">
      <alignment vertical="top" wrapText="1"/>
    </xf>
    <xf numFmtId="44" fontId="2" fillId="0" borderId="1" xfId="1" applyFont="1" applyFill="1" applyBorder="1" applyAlignment="1" applyProtection="1">
      <alignment vertical="top" wrapText="1"/>
    </xf>
    <xf numFmtId="44" fontId="1" fillId="0" borderId="9" xfId="1" applyFont="1" applyFill="1" applyBorder="1" applyAlignment="1" applyProtection="1">
      <alignment vertical="top" wrapText="1"/>
    </xf>
    <xf numFmtId="44" fontId="1" fillId="4" borderId="1" xfId="1" applyFont="1" applyFill="1" applyBorder="1" applyAlignment="1" applyProtection="1">
      <alignment vertical="top" wrapText="1"/>
    </xf>
    <xf numFmtId="44" fontId="1" fillId="2" borderId="0" xfId="1" applyFont="1" applyFill="1" applyBorder="1" applyAlignment="1" applyProtection="1">
      <alignment vertical="top" wrapText="1"/>
    </xf>
    <xf numFmtId="44" fontId="1" fillId="0" borderId="2" xfId="1" applyFont="1" applyFill="1" applyBorder="1" applyAlignment="1" applyProtection="1">
      <alignment horizontal="left" wrapText="1" indent="2"/>
    </xf>
    <xf numFmtId="44" fontId="2" fillId="0" borderId="2" xfId="1" applyFont="1" applyFill="1" applyBorder="1" applyAlignment="1" applyProtection="1">
      <alignment horizontal="left" wrapText="1" indent="2"/>
    </xf>
    <xf numFmtId="44" fontId="1" fillId="0" borderId="10" xfId="1" applyFont="1" applyFill="1" applyBorder="1" applyAlignment="1" applyProtection="1">
      <alignment horizontal="left" wrapText="1" indent="2"/>
    </xf>
  </cellXfs>
  <cellStyles count="2">
    <cellStyle name="Mo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relativeIndent="1" justifyLastLine="0" shrinkToFit="0" readingOrder="0"/>
      <border diagonalUp="0" diagonalDown="0" outline="0">
        <left style="thin">
          <color rgb="FFA0A0A0"/>
        </left>
        <right/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A0A0A0"/>
        </left>
        <right/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  <protection locked="1" hidden="0"/>
    </dxf>
    <dxf>
      <border outline="0">
        <top style="thin">
          <color rgb="FFA0A0A0"/>
        </top>
      </border>
    </dxf>
    <dxf>
      <border outline="0">
        <bottom style="thin">
          <color rgb="FFA0A0A0"/>
        </bottom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numFmt numFmtId="164" formatCode="&quot;gramas&quot;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esktop\dados%20planilhas\Produtos_Agrupados_Completos_conciliados.xlsx" TargetMode="External"/><Relationship Id="rId1" Type="http://schemas.openxmlformats.org/officeDocument/2006/relationships/externalLinkPath" Target="Produtos_Agrupados_Completos_concili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ILIADA"/>
      <sheetName val="Tabela de preços"/>
      <sheetName val="Estoque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ABA620B-852E-4239-8FAC-F90EB075B4BF}" autoFormatId="16" applyNumberFormats="0" applyBorderFormats="0" applyFontFormats="0" applyPatternFormats="0" applyAlignmentFormats="0" applyWidthHeightFormats="0">
  <queryTableRefresh nextId="16" unboundColumnsRight="1">
    <queryTableFields count="7">
      <queryTableField id="2" name="Cód." tableColumnId="2"/>
      <queryTableField id="1" name="Grupo" tableColumnId="1"/>
      <queryTableField id="4" name="Linha" tableColumnId="4"/>
      <queryTableField id="5" name="Peso.2" tableColumnId="5"/>
      <queryTableField id="6" name="Cx Embarque" tableColumnId="6"/>
      <queryTableField id="7" name="Coluna1" tableColumnId="7"/>
      <queryTableField id="9" dataBound="0" tableColumnId="9"/>
    </queryTableFields>
    <queryTableDeletedFields count="1">
      <deletedField name="Descrição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FCE8F6-8F3E-4347-9604-5E60A5E2D232}" name="Tabela2" displayName="Tabela2" ref="A1:I78" totalsRowShown="0" headerRowDxfId="8" dataDxfId="9" headerRowBorderDxfId="12" tableBorderDxfId="13" totalsRowBorderDxfId="11">
  <autoFilter ref="A1:I78" xr:uid="{1DFCE8F6-8F3E-4347-9604-5E60A5E2D232}"/>
  <tableColumns count="9">
    <tableColumn id="1" xr3:uid="{1D326000-2233-4693-BBBD-E6367895A75B}" name="CodProd" dataDxfId="3"/>
    <tableColumn id="2" xr3:uid="{0DB96069-2405-4D02-B4BB-DCB35DD494A9}" name="NomeProd" dataDxfId="4">
      <calculatedColumnFormula>VLOOKUP(Tabela2[[#This Row],[CodProd]],Tabela14[#All],2,0)</calculatedColumnFormula>
    </tableColumn>
    <tableColumn id="3" xr3:uid="{AE0885FF-91C4-4358-8008-351BC2410FC7}" name="CODGRUPO" dataDxfId="10"/>
    <tableColumn id="4" xr3:uid="{8D7CA569-52A8-4995-85EA-EA9E98CB0D62}" name="NOMEGRUPO" dataDxfId="6"/>
    <tableColumn id="10" xr3:uid="{127BA2FD-50B7-4D68-A1DD-13670E7CC5D6}" name="Gramat" dataDxfId="0">
      <calculatedColumnFormula>VLOOKUP(Tabela2[[#This Row],[CodProd]],Tabela14[],4,0)</calculatedColumnFormula>
    </tableColumn>
    <tableColumn id="5" xr3:uid="{0FB4222E-9659-48B8-BA24-4EE747F9E92D}" name="NOMEFABR" dataDxfId="5"/>
    <tableColumn id="6" xr3:uid="{EBD1DADC-897B-432D-AA73-36BE06660776}" name="TOTQTD" dataDxfId="7"/>
    <tableColumn id="7" xr3:uid="{52E886A8-B763-4A22-A2E4-921C663C893C}" name="PRECOUNITMEDIO" dataDxfId="2" dataCellStyle="Moeda"/>
    <tableColumn id="8" xr3:uid="{E2B7108C-E8A0-45B7-90E1-C6C9676885CE}" name="TOTLIQUIDO" dataDxfId="1" dataCellStyle="Moed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0D9F9-7D19-462F-AF96-56382ED6E56D}" name="Tabela14" displayName="Tabela14" ref="A1:G379" tableType="queryTable" totalsRowShown="0">
  <autoFilter ref="A1:G379" xr:uid="{6CB0D9F9-7D19-462F-AF96-56382ED6E56D}"/>
  <tableColumns count="7">
    <tableColumn id="2" xr3:uid="{A8690BE4-07BA-40EF-9924-9072EC5FCE2A}" uniqueName="2" name="ID_COD" queryTableFieldId="2" dataDxfId="17"/>
    <tableColumn id="1" xr3:uid="{D4718BE4-E53B-449F-9F7B-D38C4F637B9C}" uniqueName="1" name="Grupo" queryTableFieldId="1" dataDxfId="16"/>
    <tableColumn id="4" xr3:uid="{7887FE61-3F12-4592-925A-918940E7A1BA}" uniqueName="4" name="Linha" queryTableFieldId="4" dataDxfId="15"/>
    <tableColumn id="5" xr3:uid="{BEF023AB-2790-4A2C-B270-A402BA5E3D0F}" uniqueName="5" name="Gramatura" queryTableFieldId="5" dataDxfId="14"/>
    <tableColumn id="6" xr3:uid="{9CE0E678-CC46-4BBC-97A6-1EAC654F9CDD}" uniqueName="6" name="CX_EMB" queryTableFieldId="6"/>
    <tableColumn id="7" xr3:uid="{4F253880-6183-4697-995E-B8BB085D86D2}" uniqueName="7" name="DESCRICAONF" queryTableFieldId="7"/>
    <tableColumn id="9" xr3:uid="{28C99D43-4BB9-48A1-83C0-0DA284909C85}" uniqueName="9" name="PRECO" queryTableFieldId="9" dataCellStyle="Moed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E11" sqref="E11"/>
    </sheetView>
  </sheetViews>
  <sheetFormatPr defaultColWidth="44.42578125" defaultRowHeight="15" customHeight="1" x14ac:dyDescent="0.25"/>
  <cols>
    <col min="1" max="1" width="9.85546875" style="1" bestFit="1" customWidth="1"/>
    <col min="2" max="2" width="57.42578125" style="1" bestFit="1" customWidth="1"/>
    <col min="3" max="3" width="12" style="1" hidden="1" customWidth="1"/>
    <col min="4" max="4" width="13.5703125" style="1" hidden="1" customWidth="1"/>
    <col min="5" max="5" width="10.140625" style="1" bestFit="1" customWidth="1"/>
    <col min="6" max="6" width="12" style="1" customWidth="1"/>
    <col min="7" max="7" width="10" style="26" bestFit="1" customWidth="1"/>
    <col min="8" max="8" width="17.7109375" style="36" bestFit="1" customWidth="1"/>
    <col min="9" max="9" width="14.5703125" style="20" bestFit="1" customWidth="1"/>
    <col min="10" max="16384" width="44.42578125" style="1"/>
  </cols>
  <sheetData>
    <row r="1" spans="1:9" ht="14.25" customHeight="1" x14ac:dyDescent="0.25">
      <c r="A1" s="14" t="s">
        <v>381</v>
      </c>
      <c r="B1" s="15" t="s">
        <v>382</v>
      </c>
      <c r="C1" s="15" t="s">
        <v>0</v>
      </c>
      <c r="D1" s="15" t="s">
        <v>1</v>
      </c>
      <c r="E1" s="15" t="s">
        <v>383</v>
      </c>
      <c r="F1" s="15" t="s">
        <v>2</v>
      </c>
      <c r="G1" s="21" t="s">
        <v>3</v>
      </c>
      <c r="H1" s="31" t="s">
        <v>4</v>
      </c>
      <c r="I1" s="16" t="s">
        <v>5</v>
      </c>
    </row>
    <row r="2" spans="1:9" ht="16.5" customHeight="1" x14ac:dyDescent="0.2">
      <c r="A2" s="28">
        <v>1589</v>
      </c>
      <c r="B2" s="11" t="str">
        <f>VLOOKUP(Tabela2[[#This Row],[CodProd]],Tabela14[#All],2,0)</f>
        <v>ATADURAS LINHA FARMA10 X 1,00</v>
      </c>
      <c r="C2" s="11" t="s">
        <v>7</v>
      </c>
      <c r="D2" s="11" t="s">
        <v>8</v>
      </c>
      <c r="E2" s="27" t="str">
        <f>VLOOKUP(Tabela2[[#This Row],[CodProd]],Tabela14[],4,0)</f>
        <v/>
      </c>
      <c r="F2" s="11" t="s">
        <v>9</v>
      </c>
      <c r="G2" s="22">
        <v>330</v>
      </c>
      <c r="H2" s="17">
        <v>3.97</v>
      </c>
      <c r="I2" s="37">
        <v>1310.0999999999999</v>
      </c>
    </row>
    <row r="3" spans="1:9" ht="16.5" customHeight="1" x14ac:dyDescent="0.15">
      <c r="A3" s="29">
        <v>414</v>
      </c>
      <c r="B3" s="11" t="str">
        <f>VLOOKUP(Tabela2[[#This Row],[CodProd]],Tabela14[#All],2,0)</f>
        <v>ATADURAS LINHA HOSPITALAR10 X 1,00</v>
      </c>
      <c r="C3" s="12" t="s">
        <v>7</v>
      </c>
      <c r="D3" s="12" t="s">
        <v>8</v>
      </c>
      <c r="E3" s="27" t="str">
        <f>VLOOKUP(Tabela2[[#This Row],[CodProd]],Tabela14[],4,0)</f>
        <v/>
      </c>
      <c r="F3" s="12" t="s">
        <v>11</v>
      </c>
      <c r="G3" s="23">
        <v>660</v>
      </c>
      <c r="H3" s="18">
        <v>4.1294000000000004</v>
      </c>
      <c r="I3" s="38">
        <v>2725.404</v>
      </c>
    </row>
    <row r="4" spans="1:9" ht="16.5" customHeight="1" x14ac:dyDescent="0.2">
      <c r="A4" s="28">
        <v>416</v>
      </c>
      <c r="B4" s="11" t="str">
        <f>VLOOKUP(Tabela2[[#This Row],[CodProd]],Tabela14[#All],2,0)</f>
        <v>ATADURAS LINHA HOSPITALAR10 X 1,20</v>
      </c>
      <c r="C4" s="11" t="s">
        <v>7</v>
      </c>
      <c r="D4" s="11" t="s">
        <v>8</v>
      </c>
      <c r="E4" s="27" t="str">
        <f>VLOOKUP(Tabela2[[#This Row],[CodProd]],Tabela14[],4,0)</f>
        <v/>
      </c>
      <c r="F4" s="11" t="s">
        <v>11</v>
      </c>
      <c r="G4" s="22">
        <v>400</v>
      </c>
      <c r="H4" s="17">
        <v>4.5</v>
      </c>
      <c r="I4" s="37">
        <v>1800</v>
      </c>
    </row>
    <row r="5" spans="1:9" ht="16.5" customHeight="1" x14ac:dyDescent="0.15">
      <c r="A5" s="29">
        <v>1661</v>
      </c>
      <c r="B5" s="11" t="str">
        <f>VLOOKUP(Tabela2[[#This Row],[CodProd]],Tabela14[#All],2,0)</f>
        <v>ATADURAS LINHA FARMA10 X 1,80</v>
      </c>
      <c r="C5" s="12" t="s">
        <v>7</v>
      </c>
      <c r="D5" s="12" t="s">
        <v>8</v>
      </c>
      <c r="E5" s="27" t="str">
        <f>VLOOKUP(Tabela2[[#This Row],[CodProd]],Tabela14[],4,0)</f>
        <v/>
      </c>
      <c r="F5" s="12" t="s">
        <v>14</v>
      </c>
      <c r="G5" s="23">
        <v>180</v>
      </c>
      <c r="H5" s="18">
        <v>6.99</v>
      </c>
      <c r="I5" s="38">
        <v>1258.2</v>
      </c>
    </row>
    <row r="6" spans="1:9" ht="16.5" customHeight="1" x14ac:dyDescent="0.2">
      <c r="A6" s="28">
        <v>171</v>
      </c>
      <c r="B6" s="11" t="str">
        <f>VLOOKUP(Tabela2[[#This Row],[CodProd]],Tabela14[#All],2,0)</f>
        <v>ATADURAS LINHA FARMA10 X 1,50</v>
      </c>
      <c r="C6" s="11" t="s">
        <v>7</v>
      </c>
      <c r="D6" s="11" t="s">
        <v>8</v>
      </c>
      <c r="E6" s="27" t="str">
        <f>VLOOKUP(Tabela2[[#This Row],[CodProd]],Tabela14[],4,0)</f>
        <v/>
      </c>
      <c r="F6" s="11" t="s">
        <v>11</v>
      </c>
      <c r="G6" s="22">
        <v>440</v>
      </c>
      <c r="H6" s="17">
        <v>5.4</v>
      </c>
      <c r="I6" s="37">
        <v>2376</v>
      </c>
    </row>
    <row r="7" spans="1:9" ht="16.5" customHeight="1" x14ac:dyDescent="0.15">
      <c r="A7" s="29">
        <v>417</v>
      </c>
      <c r="B7" s="11" t="str">
        <f>VLOOKUP(Tabela2[[#This Row],[CodProd]],Tabela14[#All],2,0)</f>
        <v>ATADURAS LINHA HOSPITALAR10 X 1,50</v>
      </c>
      <c r="C7" s="12" t="s">
        <v>7</v>
      </c>
      <c r="D7" s="12" t="s">
        <v>8</v>
      </c>
      <c r="E7" s="27" t="str">
        <f>VLOOKUP(Tabela2[[#This Row],[CodProd]],Tabela14[],4,0)</f>
        <v/>
      </c>
      <c r="F7" s="12" t="s">
        <v>11</v>
      </c>
      <c r="G7" s="23">
        <v>774</v>
      </c>
      <c r="H7" s="18">
        <v>5.2144000000000004</v>
      </c>
      <c r="I7" s="38">
        <v>4035.98</v>
      </c>
    </row>
    <row r="8" spans="1:9" ht="16.5" customHeight="1" x14ac:dyDescent="0.2">
      <c r="A8" s="28">
        <v>1595</v>
      </c>
      <c r="B8" s="11" t="str">
        <f>VLOOKUP(Tabela2[[#This Row],[CodProd]],Tabela14[#All],2,0)</f>
        <v>ATADURAS LINHA FARMA10 X 1,50</v>
      </c>
      <c r="C8" s="11" t="s">
        <v>7</v>
      </c>
      <c r="D8" s="11" t="s">
        <v>8</v>
      </c>
      <c r="E8" s="27" t="str">
        <f>VLOOKUP(Tabela2[[#This Row],[CodProd]],Tabela14[],4,0)</f>
        <v/>
      </c>
      <c r="F8" s="11" t="s">
        <v>9</v>
      </c>
      <c r="G8" s="22">
        <v>6000</v>
      </c>
      <c r="H8" s="17">
        <v>4.4790999999999999</v>
      </c>
      <c r="I8" s="37">
        <v>26874.48</v>
      </c>
    </row>
    <row r="9" spans="1:9" ht="16.5" customHeight="1" x14ac:dyDescent="0.15">
      <c r="A9" s="29">
        <v>480</v>
      </c>
      <c r="B9" s="11" t="str">
        <f>VLOOKUP(Tabela2[[#This Row],[CodProd]],Tabela14[#All],2,0)</f>
        <v>ATADURAS LINHA FARMA12 X 1,00</v>
      </c>
      <c r="C9" s="12" t="s">
        <v>7</v>
      </c>
      <c r="D9" s="12" t="s">
        <v>8</v>
      </c>
      <c r="E9" s="27" t="str">
        <f>VLOOKUP(Tabela2[[#This Row],[CodProd]],Tabela14[],4,0)</f>
        <v/>
      </c>
      <c r="F9" s="12" t="s">
        <v>11</v>
      </c>
      <c r="G9" s="23">
        <v>110</v>
      </c>
      <c r="H9" s="18">
        <v>3.38</v>
      </c>
      <c r="I9" s="38">
        <v>371.8</v>
      </c>
    </row>
    <row r="10" spans="1:9" ht="16.5" customHeight="1" x14ac:dyDescent="0.2">
      <c r="A10" s="28">
        <v>477</v>
      </c>
      <c r="B10" s="11" t="str">
        <f>VLOOKUP(Tabela2[[#This Row],[CodProd]],Tabela14[#All],2,0)</f>
        <v>ATADURAS LINHA HOSPITALAR12 X 1,20</v>
      </c>
      <c r="C10" s="11" t="s">
        <v>7</v>
      </c>
      <c r="D10" s="11" t="s">
        <v>8</v>
      </c>
      <c r="E10" s="27" t="str">
        <f>VLOOKUP(Tabela2[[#This Row],[CodProd]],Tabela14[],4,0)</f>
        <v/>
      </c>
      <c r="F10" s="11" t="s">
        <v>11</v>
      </c>
      <c r="G10" s="22">
        <v>176</v>
      </c>
      <c r="H10" s="17">
        <v>5.57</v>
      </c>
      <c r="I10" s="37">
        <v>980.32</v>
      </c>
    </row>
    <row r="11" spans="1:9" ht="16.5" customHeight="1" x14ac:dyDescent="0.15">
      <c r="A11" s="29">
        <v>1662</v>
      </c>
      <c r="B11" s="11" t="str">
        <f>VLOOKUP(Tabela2[[#This Row],[CodProd]],Tabela14[#All],2,0)</f>
        <v>ATADURAS LINHA FARMA12 X 1,80</v>
      </c>
      <c r="C11" s="12" t="s">
        <v>7</v>
      </c>
      <c r="D11" s="12" t="s">
        <v>8</v>
      </c>
      <c r="E11" s="27" t="str">
        <f>VLOOKUP(Tabela2[[#This Row],[CodProd]],Tabela14[],4,0)</f>
        <v/>
      </c>
      <c r="F11" s="12" t="s">
        <v>14</v>
      </c>
      <c r="G11" s="23">
        <v>80</v>
      </c>
      <c r="H11" s="18">
        <v>8.9</v>
      </c>
      <c r="I11" s="38">
        <v>712</v>
      </c>
    </row>
    <row r="12" spans="1:9" ht="16.5" customHeight="1" x14ac:dyDescent="0.2">
      <c r="A12" s="28">
        <v>474</v>
      </c>
      <c r="B12" s="11" t="str">
        <f>VLOOKUP(Tabela2[[#This Row],[CodProd]],Tabela14[#All],2,0)</f>
        <v>ATADURAS LINHA HOSPITALAR12 X 1,50</v>
      </c>
      <c r="C12" s="11" t="s">
        <v>7</v>
      </c>
      <c r="D12" s="11" t="s">
        <v>8</v>
      </c>
      <c r="E12" s="27" t="str">
        <f>VLOOKUP(Tabela2[[#This Row],[CodProd]],Tabela14[],4,0)</f>
        <v/>
      </c>
      <c r="F12" s="11" t="s">
        <v>11</v>
      </c>
      <c r="G12" s="22">
        <v>210</v>
      </c>
      <c r="H12" s="17">
        <v>6.58</v>
      </c>
      <c r="I12" s="37">
        <v>1381.8</v>
      </c>
    </row>
    <row r="13" spans="1:9" ht="16.5" customHeight="1" x14ac:dyDescent="0.15">
      <c r="A13" s="29">
        <v>478</v>
      </c>
      <c r="B13" s="11" t="str">
        <f>VLOOKUP(Tabela2[[#This Row],[CodProd]],Tabela14[#All],2,0)</f>
        <v>ATADURAS LINHA FARMA12 X 1,50</v>
      </c>
      <c r="C13" s="12" t="s">
        <v>7</v>
      </c>
      <c r="D13" s="12" t="s">
        <v>8</v>
      </c>
      <c r="E13" s="27" t="str">
        <f>VLOOKUP(Tabela2[[#This Row],[CodProd]],Tabela14[],4,0)</f>
        <v/>
      </c>
      <c r="F13" s="12" t="s">
        <v>11</v>
      </c>
      <c r="G13" s="23">
        <v>480</v>
      </c>
      <c r="H13" s="18">
        <v>6.84</v>
      </c>
      <c r="I13" s="38">
        <v>3283.2</v>
      </c>
    </row>
    <row r="14" spans="1:9" ht="16.5" customHeight="1" x14ac:dyDescent="0.2">
      <c r="A14" s="28">
        <v>1596</v>
      </c>
      <c r="B14" s="11" t="str">
        <f>VLOOKUP(Tabela2[[#This Row],[CodProd]],Tabela14[#All],2,0)</f>
        <v>ATADURAS LINHA FARMA12 X 1,50</v>
      </c>
      <c r="C14" s="11" t="s">
        <v>7</v>
      </c>
      <c r="D14" s="11" t="s">
        <v>8</v>
      </c>
      <c r="E14" s="27" t="str">
        <f>VLOOKUP(Tabela2[[#This Row],[CodProd]],Tabela14[],4,0)</f>
        <v/>
      </c>
      <c r="F14" s="11" t="s">
        <v>9</v>
      </c>
      <c r="G14" s="22">
        <v>900</v>
      </c>
      <c r="H14" s="17">
        <v>6.9909999999999997</v>
      </c>
      <c r="I14" s="37">
        <v>6291.9</v>
      </c>
    </row>
    <row r="15" spans="1:9" ht="16.5" customHeight="1" x14ac:dyDescent="0.15">
      <c r="A15" s="29">
        <v>419</v>
      </c>
      <c r="B15" s="11" t="str">
        <f>VLOOKUP(Tabela2[[#This Row],[CodProd]],Tabela14[#All],2,0)</f>
        <v>ATADURAS LINHA HOSPITALAR15 X 1,00</v>
      </c>
      <c r="C15" s="12" t="s">
        <v>7</v>
      </c>
      <c r="D15" s="12" t="s">
        <v>8</v>
      </c>
      <c r="E15" s="27" t="str">
        <f>VLOOKUP(Tabela2[[#This Row],[CodProd]],Tabela14[],4,0)</f>
        <v/>
      </c>
      <c r="F15" s="12" t="s">
        <v>11</v>
      </c>
      <c r="G15" s="23">
        <v>1120</v>
      </c>
      <c r="H15" s="18">
        <v>5.1513</v>
      </c>
      <c r="I15" s="38">
        <v>5769.4</v>
      </c>
    </row>
    <row r="16" spans="1:9" ht="16.5" customHeight="1" x14ac:dyDescent="0.2">
      <c r="A16" s="28">
        <v>1592</v>
      </c>
      <c r="B16" s="11" t="str">
        <f>VLOOKUP(Tabela2[[#This Row],[CodProd]],Tabela14[#All],2,0)</f>
        <v>ATADURAS LINHA FARMA15 X 1,00</v>
      </c>
      <c r="C16" s="11" t="s">
        <v>7</v>
      </c>
      <c r="D16" s="11" t="s">
        <v>8</v>
      </c>
      <c r="E16" s="27" t="str">
        <f>VLOOKUP(Tabela2[[#This Row],[CodProd]],Tabela14[],4,0)</f>
        <v/>
      </c>
      <c r="F16" s="11" t="s">
        <v>9</v>
      </c>
      <c r="G16" s="22">
        <v>1260</v>
      </c>
      <c r="H16" s="17">
        <v>5.4836</v>
      </c>
      <c r="I16" s="37">
        <v>6909.3</v>
      </c>
    </row>
    <row r="17" spans="1:9" ht="16.5" customHeight="1" x14ac:dyDescent="0.15">
      <c r="A17" s="29">
        <v>164</v>
      </c>
      <c r="B17" s="11" t="str">
        <f>VLOOKUP(Tabela2[[#This Row],[CodProd]],Tabela14[#All],2,0)</f>
        <v>ATADURAS LINHA FARMA15 X 1,00</v>
      </c>
      <c r="C17" s="12" t="s">
        <v>7</v>
      </c>
      <c r="D17" s="12" t="s">
        <v>8</v>
      </c>
      <c r="E17" s="27" t="str">
        <f>VLOOKUP(Tabela2[[#This Row],[CodProd]],Tabela14[],4,0)</f>
        <v/>
      </c>
      <c r="F17" s="12" t="s">
        <v>11</v>
      </c>
      <c r="G17" s="23">
        <v>1980</v>
      </c>
      <c r="H17" s="18">
        <v>5.3673000000000002</v>
      </c>
      <c r="I17" s="38">
        <v>10627.2</v>
      </c>
    </row>
    <row r="18" spans="1:9" ht="16.5" customHeight="1" x14ac:dyDescent="0.2">
      <c r="A18" s="28">
        <v>1618</v>
      </c>
      <c r="B18" s="11" t="str">
        <f>VLOOKUP(Tabela2[[#This Row],[CodProd]],Tabela14[#All],2,0)</f>
        <v>ATADURAS LINHA HOSPITALAR15 X 1,00</v>
      </c>
      <c r="C18" s="11" t="s">
        <v>7</v>
      </c>
      <c r="D18" s="11" t="s">
        <v>8</v>
      </c>
      <c r="E18" s="27" t="str">
        <f>VLOOKUP(Tabela2[[#This Row],[CodProd]],Tabela14[],4,0)</f>
        <v/>
      </c>
      <c r="F18" s="11" t="s">
        <v>9</v>
      </c>
      <c r="G18" s="22">
        <v>70</v>
      </c>
      <c r="H18" s="17">
        <v>5.47</v>
      </c>
      <c r="I18" s="37">
        <v>382.9</v>
      </c>
    </row>
    <row r="19" spans="1:9" ht="16.5" customHeight="1" x14ac:dyDescent="0.15">
      <c r="A19" s="29">
        <v>420</v>
      </c>
      <c r="B19" s="11" t="str">
        <f>VLOOKUP(Tabela2[[#This Row],[CodProd]],Tabela14[#All],2,0)</f>
        <v>ATADURAS LINHA HOSPITALAR15 X 1,20</v>
      </c>
      <c r="C19" s="12" t="s">
        <v>7</v>
      </c>
      <c r="D19" s="12" t="s">
        <v>8</v>
      </c>
      <c r="E19" s="27" t="str">
        <f>VLOOKUP(Tabela2[[#This Row],[CodProd]],Tabela14[],4,0)</f>
        <v/>
      </c>
      <c r="F19" s="12" t="s">
        <v>11</v>
      </c>
      <c r="G19" s="23">
        <v>264</v>
      </c>
      <c r="H19" s="18">
        <v>6.38</v>
      </c>
      <c r="I19" s="38">
        <v>1684.32</v>
      </c>
    </row>
    <row r="20" spans="1:9" ht="16.5" customHeight="1" x14ac:dyDescent="0.2">
      <c r="A20" s="28">
        <v>421</v>
      </c>
      <c r="B20" s="11" t="str">
        <f>VLOOKUP(Tabela2[[#This Row],[CodProd]],Tabela14[#All],2,0)</f>
        <v>ATADURAS LINHA HOSPITALAR15 X 1,50</v>
      </c>
      <c r="C20" s="11" t="s">
        <v>7</v>
      </c>
      <c r="D20" s="11" t="s">
        <v>8</v>
      </c>
      <c r="E20" s="27" t="str">
        <f>VLOOKUP(Tabela2[[#This Row],[CodProd]],Tabela14[],4,0)</f>
        <v/>
      </c>
      <c r="F20" s="11" t="s">
        <v>11</v>
      </c>
      <c r="G20" s="22">
        <v>1380</v>
      </c>
      <c r="H20" s="17">
        <v>7.7173999999999996</v>
      </c>
      <c r="I20" s="37">
        <v>10650</v>
      </c>
    </row>
    <row r="21" spans="1:9" ht="16.5" customHeight="1" x14ac:dyDescent="0.15">
      <c r="A21" s="29">
        <v>172</v>
      </c>
      <c r="B21" s="11" t="str">
        <f>VLOOKUP(Tabela2[[#This Row],[CodProd]],Tabela14[#All],2,0)</f>
        <v>ATADURAS LINHA FARMA15 X 1,50</v>
      </c>
      <c r="C21" s="12" t="s">
        <v>7</v>
      </c>
      <c r="D21" s="12" t="s">
        <v>8</v>
      </c>
      <c r="E21" s="27" t="str">
        <f>VLOOKUP(Tabela2[[#This Row],[CodProd]],Tabela14[],4,0)</f>
        <v/>
      </c>
      <c r="F21" s="12" t="s">
        <v>11</v>
      </c>
      <c r="G21" s="23">
        <v>690</v>
      </c>
      <c r="H21" s="18">
        <v>6.85</v>
      </c>
      <c r="I21" s="38">
        <v>4726.5</v>
      </c>
    </row>
    <row r="22" spans="1:9" ht="16.5" customHeight="1" x14ac:dyDescent="0.2">
      <c r="A22" s="28">
        <v>1597</v>
      </c>
      <c r="B22" s="11" t="str">
        <f>VLOOKUP(Tabela2[[#This Row],[CodProd]],Tabela14[#All],2,0)</f>
        <v>ATADURAS LINHA FARMA15 X 1,50</v>
      </c>
      <c r="C22" s="11" t="s">
        <v>7</v>
      </c>
      <c r="D22" s="11" t="s">
        <v>8</v>
      </c>
      <c r="E22" s="27" t="str">
        <f>VLOOKUP(Tabela2[[#This Row],[CodProd]],Tabela14[],4,0)</f>
        <v/>
      </c>
      <c r="F22" s="11" t="s">
        <v>9</v>
      </c>
      <c r="G22" s="22">
        <v>5475</v>
      </c>
      <c r="H22" s="17">
        <v>7.2248000000000001</v>
      </c>
      <c r="I22" s="37">
        <v>39555.51</v>
      </c>
    </row>
    <row r="23" spans="1:9" ht="16.5" customHeight="1" x14ac:dyDescent="0.15">
      <c r="A23" s="29">
        <v>165</v>
      </c>
      <c r="B23" s="11" t="str">
        <f>VLOOKUP(Tabela2[[#This Row],[CodProd]],Tabela14[#All],2,0)</f>
        <v>ATADURAS LINHA FARMA20 X 1,00</v>
      </c>
      <c r="C23" s="12" t="s">
        <v>7</v>
      </c>
      <c r="D23" s="12" t="s">
        <v>8</v>
      </c>
      <c r="E23" s="27" t="str">
        <f>VLOOKUP(Tabela2[[#This Row],[CodProd]],Tabela14[],4,0)</f>
        <v/>
      </c>
      <c r="F23" s="12" t="s">
        <v>11</v>
      </c>
      <c r="G23" s="23">
        <v>1240</v>
      </c>
      <c r="H23" s="18">
        <v>6.7521000000000004</v>
      </c>
      <c r="I23" s="38">
        <v>8372.6</v>
      </c>
    </row>
    <row r="24" spans="1:9" ht="16.5" customHeight="1" x14ac:dyDescent="0.2">
      <c r="A24" s="28">
        <v>423</v>
      </c>
      <c r="B24" s="11" t="str">
        <f>VLOOKUP(Tabela2[[#This Row],[CodProd]],Tabela14[#All],2,0)</f>
        <v>ATADURAS LINHA HOSPITALAR20 X 1,00</v>
      </c>
      <c r="C24" s="11" t="s">
        <v>7</v>
      </c>
      <c r="D24" s="11" t="s">
        <v>8</v>
      </c>
      <c r="E24" s="27" t="str">
        <f>VLOOKUP(Tabela2[[#This Row],[CodProd]],Tabela14[],4,0)</f>
        <v/>
      </c>
      <c r="F24" s="11" t="s">
        <v>11</v>
      </c>
      <c r="G24" s="22">
        <v>2080</v>
      </c>
      <c r="H24" s="17">
        <v>6.7255000000000003</v>
      </c>
      <c r="I24" s="37">
        <v>13989.04</v>
      </c>
    </row>
    <row r="25" spans="1:9" ht="16.5" customHeight="1" x14ac:dyDescent="0.15">
      <c r="A25" s="29">
        <v>424</v>
      </c>
      <c r="B25" s="11" t="str">
        <f>VLOOKUP(Tabela2[[#This Row],[CodProd]],Tabela14[#All],2,0)</f>
        <v>ATADURAS LINHA HOSPITALAR20 X 1,20</v>
      </c>
      <c r="C25" s="12" t="s">
        <v>7</v>
      </c>
      <c r="D25" s="12" t="s">
        <v>8</v>
      </c>
      <c r="E25" s="27" t="str">
        <f>VLOOKUP(Tabela2[[#This Row],[CodProd]],Tabela14[],4,0)</f>
        <v/>
      </c>
      <c r="F25" s="12" t="s">
        <v>11</v>
      </c>
      <c r="G25" s="23">
        <v>96</v>
      </c>
      <c r="H25" s="18">
        <v>8.9</v>
      </c>
      <c r="I25" s="38">
        <v>854.4</v>
      </c>
    </row>
    <row r="26" spans="1:9" ht="16.5" customHeight="1" x14ac:dyDescent="0.2">
      <c r="A26" s="28">
        <v>1593</v>
      </c>
      <c r="B26" s="11" t="str">
        <f>VLOOKUP(Tabela2[[#This Row],[CodProd]],Tabela14[#All],2,0)</f>
        <v>ATADURAS LINHA FARMA20 X 1,00</v>
      </c>
      <c r="C26" s="11" t="s">
        <v>7</v>
      </c>
      <c r="D26" s="11" t="s">
        <v>8</v>
      </c>
      <c r="E26" s="27" t="str">
        <f>VLOOKUP(Tabela2[[#This Row],[CodProd]],Tabela14[],4,0)</f>
        <v/>
      </c>
      <c r="F26" s="11" t="s">
        <v>9</v>
      </c>
      <c r="G26" s="22">
        <v>1260</v>
      </c>
      <c r="H26" s="17">
        <v>6.3925999999999998</v>
      </c>
      <c r="I26" s="37">
        <v>8054.6480000000001</v>
      </c>
    </row>
    <row r="27" spans="1:9" ht="16.5" customHeight="1" x14ac:dyDescent="0.15">
      <c r="A27" s="29">
        <v>161</v>
      </c>
      <c r="B27" s="11" t="str">
        <f>VLOOKUP(Tabela2[[#This Row],[CodProd]],Tabela14[#All],2,0)</f>
        <v>ATADURAS LINHA FARMA20 X 1,20</v>
      </c>
      <c r="C27" s="12" t="s">
        <v>7</v>
      </c>
      <c r="D27" s="12" t="s">
        <v>8</v>
      </c>
      <c r="E27" s="27" t="str">
        <f>VLOOKUP(Tabela2[[#This Row],[CodProd]],Tabela14[],4,0)</f>
        <v/>
      </c>
      <c r="F27" s="12" t="s">
        <v>11</v>
      </c>
      <c r="G27" s="23">
        <v>140</v>
      </c>
      <c r="H27" s="18">
        <v>4.6100000000000003</v>
      </c>
      <c r="I27" s="38">
        <v>645.4</v>
      </c>
    </row>
    <row r="28" spans="1:9" ht="16.5" customHeight="1" x14ac:dyDescent="0.2">
      <c r="A28" s="28">
        <v>425</v>
      </c>
      <c r="B28" s="11" t="str">
        <f>VLOOKUP(Tabela2[[#This Row],[CodProd]],Tabela14[#All],2,0)</f>
        <v>ATADURAS LINHA HOSPITALAR20 X 1,50</v>
      </c>
      <c r="C28" s="11" t="s">
        <v>7</v>
      </c>
      <c r="D28" s="11" t="s">
        <v>8</v>
      </c>
      <c r="E28" s="27" t="str">
        <f>VLOOKUP(Tabela2[[#This Row],[CodProd]],Tabela14[],4,0)</f>
        <v/>
      </c>
      <c r="F28" s="11" t="s">
        <v>11</v>
      </c>
      <c r="G28" s="22">
        <v>1980</v>
      </c>
      <c r="H28" s="17">
        <v>9.99</v>
      </c>
      <c r="I28" s="37">
        <v>19780.2</v>
      </c>
    </row>
    <row r="29" spans="1:9" ht="16.5" customHeight="1" x14ac:dyDescent="0.15">
      <c r="A29" s="29">
        <v>173</v>
      </c>
      <c r="B29" s="11" t="str">
        <f>VLOOKUP(Tabela2[[#This Row],[CodProd]],Tabela14[#All],2,0)</f>
        <v>ATADURAS LINHA FARMA20 X 1,50</v>
      </c>
      <c r="C29" s="12" t="s">
        <v>7</v>
      </c>
      <c r="D29" s="12" t="s">
        <v>8</v>
      </c>
      <c r="E29" s="27" t="str">
        <f>VLOOKUP(Tabela2[[#This Row],[CodProd]],Tabela14[],4,0)</f>
        <v/>
      </c>
      <c r="F29" s="12" t="s">
        <v>11</v>
      </c>
      <c r="G29" s="23">
        <v>324</v>
      </c>
      <c r="H29" s="18">
        <v>9.4666999999999994</v>
      </c>
      <c r="I29" s="38">
        <v>3067.2</v>
      </c>
    </row>
    <row r="30" spans="1:9" ht="16.5" customHeight="1" x14ac:dyDescent="0.2">
      <c r="A30" s="28">
        <v>1598</v>
      </c>
      <c r="B30" s="11" t="str">
        <f>VLOOKUP(Tabela2[[#This Row],[CodProd]],Tabela14[#All],2,0)</f>
        <v>ATADURAS LINHA FARMA20 X 1,50</v>
      </c>
      <c r="C30" s="11" t="s">
        <v>7</v>
      </c>
      <c r="D30" s="11" t="s">
        <v>8</v>
      </c>
      <c r="E30" s="27" t="str">
        <f>VLOOKUP(Tabela2[[#This Row],[CodProd]],Tabela14[],4,0)</f>
        <v/>
      </c>
      <c r="F30" s="11" t="s">
        <v>9</v>
      </c>
      <c r="G30" s="22">
        <v>5100</v>
      </c>
      <c r="H30" s="17">
        <v>8.9088999999999992</v>
      </c>
      <c r="I30" s="37">
        <v>45435.6</v>
      </c>
    </row>
    <row r="31" spans="1:9" ht="16.5" customHeight="1" x14ac:dyDescent="0.15">
      <c r="A31" s="29">
        <v>427</v>
      </c>
      <c r="B31" s="11" t="str">
        <f>VLOOKUP(Tabela2[[#This Row],[CodProd]],Tabela14[#All],2,0)</f>
        <v>ATADURAS LINHA HOSPITALAR30 X 1,00</v>
      </c>
      <c r="C31" s="12" t="s">
        <v>7</v>
      </c>
      <c r="D31" s="12" t="s">
        <v>8</v>
      </c>
      <c r="E31" s="27" t="str">
        <f>VLOOKUP(Tabela2[[#This Row],[CodProd]],Tabela14[],4,0)</f>
        <v/>
      </c>
      <c r="F31" s="12" t="s">
        <v>11</v>
      </c>
      <c r="G31" s="23">
        <v>210</v>
      </c>
      <c r="H31" s="18">
        <v>11.959199999999999</v>
      </c>
      <c r="I31" s="38">
        <v>2511.4319999999998</v>
      </c>
    </row>
    <row r="32" spans="1:9" ht="16.5" customHeight="1" x14ac:dyDescent="0.2">
      <c r="A32" s="28">
        <v>428</v>
      </c>
      <c r="B32" s="11" t="str">
        <f>VLOOKUP(Tabela2[[#This Row],[CodProd]],Tabela14[#All],2,0)</f>
        <v>ATADURAS LINHA HOSPITALAR30 X 1,20</v>
      </c>
      <c r="C32" s="11" t="s">
        <v>7</v>
      </c>
      <c r="D32" s="11" t="s">
        <v>8</v>
      </c>
      <c r="E32" s="27" t="str">
        <f>VLOOKUP(Tabela2[[#This Row],[CodProd]],Tabela14[],4,0)</f>
        <v/>
      </c>
      <c r="F32" s="11" t="s">
        <v>11</v>
      </c>
      <c r="G32" s="22">
        <v>64</v>
      </c>
      <c r="H32" s="17">
        <v>12.21</v>
      </c>
      <c r="I32" s="37">
        <v>781.44</v>
      </c>
    </row>
    <row r="33" spans="1:9" ht="16.5" customHeight="1" x14ac:dyDescent="0.15">
      <c r="A33" s="29">
        <v>1594</v>
      </c>
      <c r="B33" s="11" t="str">
        <f>VLOOKUP(Tabela2[[#This Row],[CodProd]],Tabela14[#All],2,0)</f>
        <v>ATADURAS LINHA FARMA30 X 1,00</v>
      </c>
      <c r="C33" s="12" t="s">
        <v>7</v>
      </c>
      <c r="D33" s="12" t="s">
        <v>8</v>
      </c>
      <c r="E33" s="27" t="str">
        <f>VLOOKUP(Tabela2[[#This Row],[CodProd]],Tabela14[],4,0)</f>
        <v/>
      </c>
      <c r="F33" s="12" t="s">
        <v>9</v>
      </c>
      <c r="G33" s="23">
        <v>450</v>
      </c>
      <c r="H33" s="18">
        <v>10.371600000000001</v>
      </c>
      <c r="I33" s="38">
        <v>4667.2</v>
      </c>
    </row>
    <row r="34" spans="1:9" ht="16.5" customHeight="1" x14ac:dyDescent="0.2">
      <c r="A34" s="28">
        <v>1599</v>
      </c>
      <c r="B34" s="11" t="str">
        <f>VLOOKUP(Tabela2[[#This Row],[CodProd]],Tabela14[#All],2,0)</f>
        <v>ATADURAS LINHA FARMA30 X 1,50</v>
      </c>
      <c r="C34" s="11" t="s">
        <v>7</v>
      </c>
      <c r="D34" s="11" t="s">
        <v>8</v>
      </c>
      <c r="E34" s="27" t="str">
        <f>VLOOKUP(Tabela2[[#This Row],[CodProd]],Tabela14[],4,0)</f>
        <v/>
      </c>
      <c r="F34" s="11" t="s">
        <v>9</v>
      </c>
      <c r="G34" s="22">
        <v>440</v>
      </c>
      <c r="H34" s="17">
        <v>15.1418</v>
      </c>
      <c r="I34" s="37">
        <v>6662.4</v>
      </c>
    </row>
    <row r="35" spans="1:9" ht="16.5" customHeight="1" x14ac:dyDescent="0.15">
      <c r="A35" s="29">
        <v>170</v>
      </c>
      <c r="B35" s="11" t="str">
        <f>VLOOKUP(Tabela2[[#This Row],[CodProd]],Tabela14[#All],2,0)</f>
        <v>ATADURAS LINHA FARMA30 X 1,80</v>
      </c>
      <c r="C35" s="12" t="s">
        <v>7</v>
      </c>
      <c r="D35" s="12" t="s">
        <v>8</v>
      </c>
      <c r="E35" s="27" t="str">
        <f>VLOOKUP(Tabela2[[#This Row],[CodProd]],Tabela14[],4,0)</f>
        <v/>
      </c>
      <c r="F35" s="12" t="s">
        <v>11</v>
      </c>
      <c r="G35" s="23">
        <v>35</v>
      </c>
      <c r="H35" s="18">
        <v>6.61</v>
      </c>
      <c r="I35" s="38">
        <v>231.35</v>
      </c>
    </row>
    <row r="36" spans="1:9" ht="16.5" customHeight="1" x14ac:dyDescent="0.2">
      <c r="A36" s="28">
        <v>1644</v>
      </c>
      <c r="B36" s="11" t="str">
        <f>VLOOKUP(Tabela2[[#This Row],[CodProd]],Tabela14[#All],2,0)</f>
        <v>ATADURAS LINHA FARMA8 X 1,00</v>
      </c>
      <c r="C36" s="11" t="s">
        <v>7</v>
      </c>
      <c r="D36" s="11" t="s">
        <v>8</v>
      </c>
      <c r="E36" s="27" t="str">
        <f>VLOOKUP(Tabela2[[#This Row],[CodProd]],Tabela14[],4,0)</f>
        <v/>
      </c>
      <c r="F36" s="11" t="s">
        <v>9</v>
      </c>
      <c r="G36" s="22">
        <v>250</v>
      </c>
      <c r="H36" s="17">
        <v>3.5815999999999999</v>
      </c>
      <c r="I36" s="37">
        <v>895.4</v>
      </c>
    </row>
    <row r="37" spans="1:9" ht="16.5" customHeight="1" x14ac:dyDescent="0.15">
      <c r="A37" s="29">
        <v>1663</v>
      </c>
      <c r="B37" s="11" t="str">
        <f>VLOOKUP(Tabela2[[#This Row],[CodProd]],Tabela14[#All],2,0)</f>
        <v>ATADURAS LINHA FARMA15 X 1,80</v>
      </c>
      <c r="C37" s="12" t="s">
        <v>7</v>
      </c>
      <c r="D37" s="12" t="s">
        <v>8</v>
      </c>
      <c r="E37" s="27" t="str">
        <f>VLOOKUP(Tabela2[[#This Row],[CodProd]],Tabela14[],4,0)</f>
        <v/>
      </c>
      <c r="F37" s="12" t="s">
        <v>14</v>
      </c>
      <c r="G37" s="23">
        <v>210</v>
      </c>
      <c r="H37" s="18">
        <v>9.8000000000000007</v>
      </c>
      <c r="I37" s="38">
        <v>2058</v>
      </c>
    </row>
    <row r="38" spans="1:9" ht="16.5" customHeight="1" x14ac:dyDescent="0.2">
      <c r="A38" s="28">
        <v>157</v>
      </c>
      <c r="B38" s="11" t="str">
        <f>VLOOKUP(Tabela2[[#This Row],[CodProd]],Tabela14[#All],2,0)</f>
        <v>CAMPOS OPERATÓRIOSCAMPO C/ 2</v>
      </c>
      <c r="C38" s="11" t="s">
        <v>7</v>
      </c>
      <c r="D38" s="11" t="s">
        <v>8</v>
      </c>
      <c r="E38" s="27" t="str">
        <f>VLOOKUP(Tabela2[[#This Row],[CodProd]],Tabela14[],4,0)</f>
        <v/>
      </c>
      <c r="F38" s="11" t="s">
        <v>11</v>
      </c>
      <c r="G38" s="22">
        <v>35400</v>
      </c>
      <c r="H38" s="17">
        <v>2.5424000000000002</v>
      </c>
      <c r="I38" s="37">
        <v>90000</v>
      </c>
    </row>
    <row r="39" spans="1:9" ht="16.5" customHeight="1" x14ac:dyDescent="0.15">
      <c r="A39" s="29">
        <v>158</v>
      </c>
      <c r="B39" s="11" t="str">
        <f>VLOOKUP(Tabela2[[#This Row],[CodProd]],Tabela14[#All],2,0)</f>
        <v>CAMPOS OPERATÓRIOSCAMPO C/ 5</v>
      </c>
      <c r="C39" s="12" t="s">
        <v>7</v>
      </c>
      <c r="D39" s="12" t="s">
        <v>8</v>
      </c>
      <c r="E39" s="27" t="str">
        <f>VLOOKUP(Tabela2[[#This Row],[CodProd]],Tabela14[],4,0)</f>
        <v/>
      </c>
      <c r="F39" s="12" t="s">
        <v>11</v>
      </c>
      <c r="G39" s="23">
        <v>10050</v>
      </c>
      <c r="H39" s="18">
        <v>5.18</v>
      </c>
      <c r="I39" s="38">
        <v>52059</v>
      </c>
    </row>
    <row r="40" spans="1:9" ht="16.5" customHeight="1" x14ac:dyDescent="0.2">
      <c r="A40" s="28">
        <v>2073</v>
      </c>
      <c r="B40" s="11" t="s">
        <v>43</v>
      </c>
      <c r="C40" s="11" t="s">
        <v>7</v>
      </c>
      <c r="D40" s="11" t="s">
        <v>8</v>
      </c>
      <c r="E40" s="27"/>
      <c r="F40" s="11" t="s">
        <v>9</v>
      </c>
      <c r="G40" s="22">
        <v>15000</v>
      </c>
      <c r="H40" s="17">
        <v>4.0999999999999996</v>
      </c>
      <c r="I40" s="37">
        <v>61500</v>
      </c>
    </row>
    <row r="41" spans="1:9" ht="16.5" customHeight="1" x14ac:dyDescent="0.15">
      <c r="A41" s="29">
        <v>1588</v>
      </c>
      <c r="B41" s="11" t="str">
        <f>VLOOKUP(Tabela2[[#This Row],[CodProd]],Tabela14[#All],2,0)</f>
        <v>CAMPOS OPERATÓRIOSCAMPO C/ 5</v>
      </c>
      <c r="C41" s="12" t="s">
        <v>7</v>
      </c>
      <c r="D41" s="12" t="s">
        <v>8</v>
      </c>
      <c r="E41" s="27" t="str">
        <f>VLOOKUP(Tabela2[[#This Row],[CodProd]],Tabela14[],4,0)</f>
        <v/>
      </c>
      <c r="F41" s="12" t="s">
        <v>9</v>
      </c>
      <c r="G41" s="23">
        <v>38400</v>
      </c>
      <c r="H41" s="18">
        <v>4.6740000000000004</v>
      </c>
      <c r="I41" s="38">
        <v>179483.1</v>
      </c>
    </row>
    <row r="42" spans="1:9" ht="16.5" customHeight="1" x14ac:dyDescent="0.2">
      <c r="A42" s="28">
        <v>1586</v>
      </c>
      <c r="B42" s="11" t="str">
        <f>VLOOKUP(Tabela2[[#This Row],[CodProd]],Tabela14[#All],2,0)</f>
        <v>CAMPOS OPERATÓRIOSCAMPO 45 X 50</v>
      </c>
      <c r="C42" s="11" t="s">
        <v>7</v>
      </c>
      <c r="D42" s="11" t="s">
        <v>8</v>
      </c>
      <c r="E42" s="27" t="str">
        <f>VLOOKUP(Tabela2[[#This Row],[CodProd]],Tabela14[],4,0)</f>
        <v/>
      </c>
      <c r="F42" s="11" t="s">
        <v>9</v>
      </c>
      <c r="G42" s="22">
        <v>8388</v>
      </c>
      <c r="H42" s="17">
        <v>41.892699999999998</v>
      </c>
      <c r="I42" s="37">
        <v>351396.09120000002</v>
      </c>
    </row>
    <row r="43" spans="1:9" ht="16.5" customHeight="1" x14ac:dyDescent="0.15">
      <c r="A43" s="29">
        <v>155</v>
      </c>
      <c r="B43" s="11" t="str">
        <f>VLOOKUP(Tabela2[[#This Row],[CodProd]],Tabela14[#All],2,0)</f>
        <v>CAMPOS OPERATÓRIOSCAMPO 45 X 50</v>
      </c>
      <c r="C43" s="12" t="s">
        <v>7</v>
      </c>
      <c r="D43" s="12" t="s">
        <v>8</v>
      </c>
      <c r="E43" s="27" t="str">
        <f>VLOOKUP(Tabela2[[#This Row],[CodProd]],Tabela14[],4,0)</f>
        <v/>
      </c>
      <c r="F43" s="12" t="s">
        <v>11</v>
      </c>
      <c r="G43" s="23">
        <v>360</v>
      </c>
      <c r="H43" s="18">
        <v>41</v>
      </c>
      <c r="I43" s="38">
        <v>14760</v>
      </c>
    </row>
    <row r="44" spans="1:9" ht="16.5" customHeight="1" x14ac:dyDescent="0.2">
      <c r="A44" s="28">
        <v>1797</v>
      </c>
      <c r="B44" s="11" t="str">
        <f>VLOOKUP(Tabela2[[#This Row],[CodProd]],Tabela14[#All],2,0)</f>
        <v>CAMPO OPERATORIO NAO ESTERIL 45X50 S/ RX - PCT 50 UNDCAMPO 45 X 50</v>
      </c>
      <c r="C44" s="11" t="s">
        <v>7</v>
      </c>
      <c r="D44" s="11" t="s">
        <v>8</v>
      </c>
      <c r="E44" s="27"/>
      <c r="F44" s="11" t="s">
        <v>9</v>
      </c>
      <c r="G44" s="22">
        <v>0</v>
      </c>
      <c r="H44" s="32"/>
      <c r="I44" s="37">
        <v>-466.38720000000001</v>
      </c>
    </row>
    <row r="45" spans="1:9" ht="16.5" customHeight="1" x14ac:dyDescent="0.15">
      <c r="A45" s="29">
        <v>84</v>
      </c>
      <c r="B45" s="11" t="str">
        <f>VLOOKUP(Tabela2[[#This Row],[CodProd]],Tabela14[#All],2,0)</f>
        <v>GAZE EM ROLO – 9 FIOSROLO 9 FIOS</v>
      </c>
      <c r="C45" s="12" t="s">
        <v>7</v>
      </c>
      <c r="D45" s="12" t="s">
        <v>8</v>
      </c>
      <c r="E45" s="27" t="str">
        <f>VLOOKUP(Tabela2[[#This Row],[CodProd]],Tabela14[],4,0)</f>
        <v>200</v>
      </c>
      <c r="F45" s="12" t="s">
        <v>9</v>
      </c>
      <c r="G45" s="23">
        <v>1008</v>
      </c>
      <c r="H45" s="33">
        <v>12.7</v>
      </c>
      <c r="I45" s="38">
        <v>12801.6</v>
      </c>
    </row>
    <row r="46" spans="1:9" ht="16.5" customHeight="1" x14ac:dyDescent="0.2">
      <c r="A46" s="28">
        <v>85</v>
      </c>
      <c r="B46" s="11" t="str">
        <f>VLOOKUP(Tabela2[[#This Row],[CodProd]],Tabela14[#All],2,0)</f>
        <v>GAZE EM ROLO – 9 FIOSROLO 9 FIOS</v>
      </c>
      <c r="C46" s="11" t="s">
        <v>7</v>
      </c>
      <c r="D46" s="11" t="s">
        <v>8</v>
      </c>
      <c r="E46" s="27" t="str">
        <f>VLOOKUP(Tabela2[[#This Row],[CodProd]],Tabela14[],4,0)</f>
        <v>210</v>
      </c>
      <c r="F46" s="11" t="s">
        <v>9</v>
      </c>
      <c r="G46" s="22">
        <v>2916</v>
      </c>
      <c r="H46" s="32">
        <v>13.488300000000001</v>
      </c>
      <c r="I46" s="37">
        <v>39331.742400000003</v>
      </c>
    </row>
    <row r="47" spans="1:9" ht="16.5" customHeight="1" x14ac:dyDescent="0.15">
      <c r="A47" s="29">
        <v>2070</v>
      </c>
      <c r="B47" s="11" t="s">
        <v>48</v>
      </c>
      <c r="C47" s="12" t="s">
        <v>7</v>
      </c>
      <c r="D47" s="12" t="s">
        <v>8</v>
      </c>
      <c r="E47" s="27">
        <f>VLOOKUP(Tabela2[[#This Row],[CodProd]],Tabela14[],4,0)</f>
        <v>210</v>
      </c>
      <c r="F47" s="12" t="s">
        <v>11</v>
      </c>
      <c r="G47" s="23">
        <v>10800</v>
      </c>
      <c r="H47" s="33">
        <v>12.57</v>
      </c>
      <c r="I47" s="38">
        <v>135756</v>
      </c>
    </row>
    <row r="48" spans="1:9" ht="16.5" customHeight="1" x14ac:dyDescent="0.2">
      <c r="A48" s="28">
        <v>132</v>
      </c>
      <c r="B48" s="11" t="str">
        <f>VLOOKUP(Tabela2[[#This Row],[CodProd]],Tabela14[#All],2,0)</f>
        <v>GAZE EM ROLO – 9 FIOSROLO 9 FIOS</v>
      </c>
      <c r="C48" s="11" t="s">
        <v>7</v>
      </c>
      <c r="D48" s="11" t="s">
        <v>8</v>
      </c>
      <c r="E48" s="27" t="str">
        <f>VLOOKUP(Tabela2[[#This Row],[CodProd]],Tabela14[],4,0)</f>
        <v>370</v>
      </c>
      <c r="F48" s="11" t="s">
        <v>11</v>
      </c>
      <c r="G48" s="22">
        <v>600</v>
      </c>
      <c r="H48" s="32">
        <v>18.850000000000001</v>
      </c>
      <c r="I48" s="37">
        <v>11310</v>
      </c>
    </row>
    <row r="49" spans="1:9" ht="16.5" customHeight="1" x14ac:dyDescent="0.15">
      <c r="A49" s="29">
        <v>263</v>
      </c>
      <c r="B49" s="11" t="str">
        <f>VLOOKUP(Tabela2[[#This Row],[CodProd]],Tabela14[#All],2,0)</f>
        <v>GAZE EM ROLO – 11 FIOSROLO 11 FIOS</v>
      </c>
      <c r="C49" s="12" t="s">
        <v>7</v>
      </c>
      <c r="D49" s="12" t="s">
        <v>8</v>
      </c>
      <c r="E49" s="27" t="str">
        <f>VLOOKUP(Tabela2[[#This Row],[CodProd]],Tabela14[],4,0)</f>
        <v>250</v>
      </c>
      <c r="F49" s="12" t="s">
        <v>9</v>
      </c>
      <c r="G49" s="23">
        <v>60</v>
      </c>
      <c r="H49" s="33">
        <v>15.44</v>
      </c>
      <c r="I49" s="38">
        <v>926.4</v>
      </c>
    </row>
    <row r="50" spans="1:9" ht="16.5" customHeight="1" x14ac:dyDescent="0.2">
      <c r="A50" s="28">
        <v>276</v>
      </c>
      <c r="B50" s="11" t="str">
        <f>VLOOKUP(Tabela2[[#This Row],[CodProd]],Tabela14[#All],2,0)</f>
        <v>GAZE EM ROLO – 13 FIOSROLO 13 FIOS</v>
      </c>
      <c r="C50" s="11" t="s">
        <v>7</v>
      </c>
      <c r="D50" s="11" t="s">
        <v>8</v>
      </c>
      <c r="E50" s="27" t="str">
        <f>VLOOKUP(Tabela2[[#This Row],[CodProd]],Tabela14[],4,0)</f>
        <v>240</v>
      </c>
      <c r="F50" s="11" t="s">
        <v>9</v>
      </c>
      <c r="G50" s="22">
        <v>1500</v>
      </c>
      <c r="H50" s="32">
        <v>13.9</v>
      </c>
      <c r="I50" s="37">
        <v>20850</v>
      </c>
    </row>
    <row r="51" spans="1:9" ht="16.5" customHeight="1" x14ac:dyDescent="0.15">
      <c r="A51" s="29">
        <v>359</v>
      </c>
      <c r="B51" s="11" t="str">
        <f>VLOOKUP(Tabela2[[#This Row],[CodProd]],Tabela14[#All],2,0)</f>
        <v>GAZE EM ROLO – 13 FIOSROLO 13 FIOS</v>
      </c>
      <c r="C51" s="12" t="s">
        <v>7</v>
      </c>
      <c r="D51" s="12" t="s">
        <v>8</v>
      </c>
      <c r="E51" s="27" t="str">
        <f>VLOOKUP(Tabela2[[#This Row],[CodProd]],Tabela14[],4,0)</f>
        <v>200</v>
      </c>
      <c r="F51" s="12" t="s">
        <v>9</v>
      </c>
      <c r="G51" s="23">
        <v>5004</v>
      </c>
      <c r="H51" s="33">
        <v>11.99</v>
      </c>
      <c r="I51" s="38">
        <v>59997.96</v>
      </c>
    </row>
    <row r="52" spans="1:9" ht="16.5" customHeight="1" x14ac:dyDescent="0.2">
      <c r="A52" s="28">
        <v>1637</v>
      </c>
      <c r="B52" s="11" t="str">
        <f>VLOOKUP(Tabela2[[#This Row],[CodProd]],Tabela14[#All],2,0)</f>
        <v>GAZE EM ROLO – 13 FIOSROLO 13 FIOS</v>
      </c>
      <c r="C52" s="11" t="s">
        <v>7</v>
      </c>
      <c r="D52" s="11" t="s">
        <v>8</v>
      </c>
      <c r="E52" s="27" t="str">
        <f>VLOOKUP(Tabela2[[#This Row],[CodProd]],Tabela14[],4,0)</f>
        <v>230</v>
      </c>
      <c r="F52" s="11" t="s">
        <v>11</v>
      </c>
      <c r="G52" s="22">
        <v>4020</v>
      </c>
      <c r="H52" s="32">
        <v>15.9</v>
      </c>
      <c r="I52" s="37">
        <v>63918</v>
      </c>
    </row>
    <row r="53" spans="1:9" ht="16.5" customHeight="1" x14ac:dyDescent="0.15">
      <c r="A53" s="29">
        <v>1819</v>
      </c>
      <c r="B53" s="11" t="str">
        <f>VLOOKUP(Tabela2[[#This Row],[CodProd]],Tabela14[#All],2,0)</f>
        <v>GAZE CIRCULAR NAO ESTERIL 13 FIOSROLO 13 FIOS</v>
      </c>
      <c r="C53" s="12" t="s">
        <v>7</v>
      </c>
      <c r="D53" s="12" t="s">
        <v>8</v>
      </c>
      <c r="E53" s="27">
        <f>VLOOKUP(Tabela2[[#This Row],[CodProd]],Tabela14[],4,0)</f>
        <v>210</v>
      </c>
      <c r="F53" s="12" t="s">
        <v>11</v>
      </c>
      <c r="G53" s="23">
        <v>1476</v>
      </c>
      <c r="H53" s="33">
        <v>15.5</v>
      </c>
      <c r="I53" s="38">
        <v>22878</v>
      </c>
    </row>
    <row r="54" spans="1:9" ht="16.5" customHeight="1" x14ac:dyDescent="0.2">
      <c r="A54" s="28">
        <v>300</v>
      </c>
      <c r="B54" s="11" t="str">
        <f>VLOOKUP(Tabela2[[#This Row],[CodProd]],Tabela14[#All],2,0)</f>
        <v>GAZE EM ROLO – 13 FIOSROLO 13 FIOS</v>
      </c>
      <c r="C54" s="11" t="s">
        <v>7</v>
      </c>
      <c r="D54" s="11" t="s">
        <v>8</v>
      </c>
      <c r="E54" s="27" t="str">
        <f>VLOOKUP(Tabela2[[#This Row],[CodProd]],Tabela14[],4,0)</f>
        <v>410</v>
      </c>
      <c r="F54" s="11" t="s">
        <v>11</v>
      </c>
      <c r="G54" s="22">
        <v>500</v>
      </c>
      <c r="H54" s="32">
        <v>32.260800000000003</v>
      </c>
      <c r="I54" s="37">
        <v>16130.4</v>
      </c>
    </row>
    <row r="55" spans="1:9" ht="16.5" customHeight="1" x14ac:dyDescent="0.15">
      <c r="A55" s="29">
        <v>277</v>
      </c>
      <c r="B55" s="11" t="str">
        <f>VLOOKUP(Tabela2[[#This Row],[CodProd]],Tabela14[#All],2,0)</f>
        <v>GAZE EM ROLO – 13 FIOSROLO 13 FIOS</v>
      </c>
      <c r="C55" s="12" t="s">
        <v>7</v>
      </c>
      <c r="D55" s="12" t="s">
        <v>8</v>
      </c>
      <c r="E55" s="27" t="str">
        <f>VLOOKUP(Tabela2[[#This Row],[CodProd]],Tabela14[],4,0)</f>
        <v>250</v>
      </c>
      <c r="F55" s="12" t="s">
        <v>9</v>
      </c>
      <c r="G55" s="23">
        <v>12930</v>
      </c>
      <c r="H55" s="33">
        <v>13.3155</v>
      </c>
      <c r="I55" s="38">
        <v>172170</v>
      </c>
    </row>
    <row r="56" spans="1:9" ht="16.5" customHeight="1" x14ac:dyDescent="0.2">
      <c r="A56" s="28">
        <v>279</v>
      </c>
      <c r="B56" s="11" t="str">
        <f>VLOOKUP(Tabela2[[#This Row],[CodProd]],Tabela14[#All],2,0)</f>
        <v>GAZE EM ROLO – 13 FIOSROLO 13 FIOS</v>
      </c>
      <c r="C56" s="11" t="s">
        <v>7</v>
      </c>
      <c r="D56" s="11" t="s">
        <v>8</v>
      </c>
      <c r="E56" s="27" t="str">
        <f>VLOOKUP(Tabela2[[#This Row],[CodProd]],Tabela14[],4,0)</f>
        <v>270</v>
      </c>
      <c r="F56" s="11" t="s">
        <v>9</v>
      </c>
      <c r="G56" s="22">
        <v>870</v>
      </c>
      <c r="H56" s="32">
        <v>19.852</v>
      </c>
      <c r="I56" s="37">
        <v>17271.263999999999</v>
      </c>
    </row>
    <row r="57" spans="1:9" ht="16.5" customHeight="1" x14ac:dyDescent="0.15">
      <c r="A57" s="29">
        <v>282</v>
      </c>
      <c r="B57" s="11" t="str">
        <f>VLOOKUP(Tabela2[[#This Row],[CodProd]],Tabela14[#All],2,0)</f>
        <v>GAZE EM ROLO – 13 FIOSROLO 13 FIOS</v>
      </c>
      <c r="C57" s="12" t="s">
        <v>7</v>
      </c>
      <c r="D57" s="12" t="s">
        <v>8</v>
      </c>
      <c r="E57" s="27" t="str">
        <f>VLOOKUP(Tabela2[[#This Row],[CodProd]],Tabela14[],4,0)</f>
        <v>300</v>
      </c>
      <c r="F57" s="12" t="s">
        <v>9</v>
      </c>
      <c r="G57" s="23">
        <v>1675</v>
      </c>
      <c r="H57" s="33">
        <v>20.79</v>
      </c>
      <c r="I57" s="38">
        <v>34823.25</v>
      </c>
    </row>
    <row r="58" spans="1:9" ht="16.5" customHeight="1" x14ac:dyDescent="0.2">
      <c r="A58" s="28">
        <v>286</v>
      </c>
      <c r="B58" s="11" t="str">
        <f>VLOOKUP(Tabela2[[#This Row],[CodProd]],Tabela14[#All],2,0)</f>
        <v>GAZE EM ROLO – 13 FIOSROLO 13 FIOS</v>
      </c>
      <c r="C58" s="11" t="s">
        <v>7</v>
      </c>
      <c r="D58" s="11" t="s">
        <v>8</v>
      </c>
      <c r="E58" s="27" t="str">
        <f>VLOOKUP(Tabela2[[#This Row],[CodProd]],Tabela14[],4,0)</f>
        <v>340</v>
      </c>
      <c r="F58" s="11" t="s">
        <v>9</v>
      </c>
      <c r="G58" s="22">
        <v>100</v>
      </c>
      <c r="H58" s="32">
        <v>22.724</v>
      </c>
      <c r="I58" s="37">
        <v>2272.4</v>
      </c>
    </row>
    <row r="59" spans="1:9" ht="16.5" customHeight="1" x14ac:dyDescent="0.15">
      <c r="A59" s="29">
        <v>1641</v>
      </c>
      <c r="B59" s="11" t="str">
        <f>VLOOKUP(Tabela2[[#This Row],[CodProd]],Tabela14[#All],2,0)</f>
        <v>COMPRESSA ESTÉRILEstéril 9 fios</v>
      </c>
      <c r="C59" s="12" t="s">
        <v>7</v>
      </c>
      <c r="D59" s="12" t="s">
        <v>8</v>
      </c>
      <c r="E59" s="27" t="str">
        <f>VLOOKUP(Tabela2[[#This Row],[CodProd]],Tabela14[],4,0)</f>
        <v/>
      </c>
      <c r="F59" s="12" t="s">
        <v>14</v>
      </c>
      <c r="G59" s="23">
        <v>2700</v>
      </c>
      <c r="H59" s="33">
        <v>0.72</v>
      </c>
      <c r="I59" s="38">
        <v>1944</v>
      </c>
    </row>
    <row r="60" spans="1:9" ht="16.5" customHeight="1" x14ac:dyDescent="0.2">
      <c r="A60" s="28">
        <v>1</v>
      </c>
      <c r="B60" s="11" t="str">
        <f>VLOOKUP(Tabela2[[#This Row],[CodProd]],Tabela14[#All],2,0)</f>
        <v>COMPRESSA ESTÉRILEstéril 9 fios</v>
      </c>
      <c r="C60" s="11" t="s">
        <v>7</v>
      </c>
      <c r="D60" s="11" t="s">
        <v>8</v>
      </c>
      <c r="E60" s="27" t="str">
        <f>VLOOKUP(Tabela2[[#This Row],[CodProd]],Tabela14[],4,0)</f>
        <v/>
      </c>
      <c r="F60" s="11" t="s">
        <v>9</v>
      </c>
      <c r="G60" s="22">
        <v>194000</v>
      </c>
      <c r="H60" s="32">
        <v>0.37219999999999998</v>
      </c>
      <c r="I60" s="37">
        <v>72214.8</v>
      </c>
    </row>
    <row r="61" spans="1:9" ht="16.5" customHeight="1" x14ac:dyDescent="0.15">
      <c r="A61" s="29">
        <v>153</v>
      </c>
      <c r="B61" s="11" t="str">
        <f>VLOOKUP(Tabela2[[#This Row],[CodProd]],Tabela14[#All],2,0)</f>
        <v>COMPRESSA ESTÉRILEstéril 11 fios</v>
      </c>
      <c r="C61" s="12" t="s">
        <v>7</v>
      </c>
      <c r="D61" s="12" t="s">
        <v>8</v>
      </c>
      <c r="E61" s="27" t="str">
        <f>VLOOKUP(Tabela2[[#This Row],[CodProd]],Tabela14[],4,0)</f>
        <v/>
      </c>
      <c r="F61" s="12" t="s">
        <v>11</v>
      </c>
      <c r="G61" s="23">
        <v>40000</v>
      </c>
      <c r="H61" s="33">
        <v>0.48499999999999999</v>
      </c>
      <c r="I61" s="38">
        <v>19400</v>
      </c>
    </row>
    <row r="62" spans="1:9" ht="16.5" customHeight="1" x14ac:dyDescent="0.2">
      <c r="A62" s="28">
        <v>1642</v>
      </c>
      <c r="B62" s="11" t="str">
        <f>VLOOKUP(Tabela2[[#This Row],[CodProd]],Tabela14[#All],2,0)</f>
        <v>COMPRESSA ESTÉRILEstéril 11 fios</v>
      </c>
      <c r="C62" s="11" t="s">
        <v>7</v>
      </c>
      <c r="D62" s="11" t="s">
        <v>8</v>
      </c>
      <c r="E62" s="27" t="str">
        <f>VLOOKUP(Tabela2[[#This Row],[CodProd]],Tabela14[],4,0)</f>
        <v/>
      </c>
      <c r="F62" s="11" t="s">
        <v>14</v>
      </c>
      <c r="G62" s="22">
        <v>10000</v>
      </c>
      <c r="H62" s="32">
        <v>0.59</v>
      </c>
      <c r="I62" s="37">
        <v>5900</v>
      </c>
    </row>
    <row r="63" spans="1:9" ht="16.5" customHeight="1" x14ac:dyDescent="0.15">
      <c r="A63" s="29">
        <v>2</v>
      </c>
      <c r="B63" s="11" t="str">
        <f>VLOOKUP(Tabela2[[#This Row],[CodProd]],Tabela14[#All],2,0)</f>
        <v>COMPRESSA ESTÉRILEstéril 11 fios</v>
      </c>
      <c r="C63" s="12" t="s">
        <v>7</v>
      </c>
      <c r="D63" s="12" t="s">
        <v>8</v>
      </c>
      <c r="E63" s="27" t="str">
        <f>VLOOKUP(Tabela2[[#This Row],[CodProd]],Tabela14[],4,0)</f>
        <v/>
      </c>
      <c r="F63" s="12" t="s">
        <v>9</v>
      </c>
      <c r="G63" s="23">
        <v>330000</v>
      </c>
      <c r="H63" s="33">
        <v>0.38850000000000001</v>
      </c>
      <c r="I63" s="38">
        <v>128192.5</v>
      </c>
    </row>
    <row r="64" spans="1:9" ht="16.5" customHeight="1" x14ac:dyDescent="0.2">
      <c r="A64" s="28">
        <v>154</v>
      </c>
      <c r="B64" s="11" t="str">
        <f>VLOOKUP(Tabela2[[#This Row],[CodProd]],Tabela14[#All],2,0)</f>
        <v>COMPRESSA ESTÉRILEstéril 13 fios</v>
      </c>
      <c r="C64" s="11" t="s">
        <v>7</v>
      </c>
      <c r="D64" s="11" t="s">
        <v>8</v>
      </c>
      <c r="E64" s="27" t="str">
        <f>VLOOKUP(Tabela2[[#This Row],[CodProd]],Tabela14[],4,0)</f>
        <v/>
      </c>
      <c r="F64" s="11" t="s">
        <v>11</v>
      </c>
      <c r="G64" s="22">
        <v>22000</v>
      </c>
      <c r="H64" s="32">
        <v>0.4713</v>
      </c>
      <c r="I64" s="37">
        <v>10368</v>
      </c>
    </row>
    <row r="65" spans="1:9" ht="16.5" customHeight="1" x14ac:dyDescent="0.15">
      <c r="A65" s="29">
        <v>3</v>
      </c>
      <c r="B65" s="11" t="str">
        <f>VLOOKUP(Tabela2[[#This Row],[CodProd]],Tabela14[#All],2,0)</f>
        <v>COMPRESSA ESTÉRILEstéril 13 fios</v>
      </c>
      <c r="C65" s="12" t="s">
        <v>7</v>
      </c>
      <c r="D65" s="12" t="s">
        <v>8</v>
      </c>
      <c r="E65" s="27" t="str">
        <f>VLOOKUP(Tabela2[[#This Row],[CodProd]],Tabela14[],4,0)</f>
        <v/>
      </c>
      <c r="F65" s="12" t="s">
        <v>9</v>
      </c>
      <c r="G65" s="23">
        <v>1428000</v>
      </c>
      <c r="H65" s="33">
        <v>0.38650000000000001</v>
      </c>
      <c r="I65" s="38">
        <v>551960.80000000005</v>
      </c>
    </row>
    <row r="66" spans="1:9" ht="16.5" customHeight="1" x14ac:dyDescent="0.2">
      <c r="A66" s="28">
        <v>1643</v>
      </c>
      <c r="B66" s="11" t="str">
        <f>VLOOKUP(Tabela2[[#This Row],[CodProd]],Tabela14[#All],2,0)</f>
        <v>COMPRESSA ESTÉRILEstéril 13 fios</v>
      </c>
      <c r="C66" s="11" t="s">
        <v>7</v>
      </c>
      <c r="D66" s="11" t="s">
        <v>8</v>
      </c>
      <c r="E66" s="27" t="str">
        <f>VLOOKUP(Tabela2[[#This Row],[CodProd]],Tabela14[],4,0)</f>
        <v/>
      </c>
      <c r="F66" s="11" t="s">
        <v>14</v>
      </c>
      <c r="G66" s="22">
        <v>2700</v>
      </c>
      <c r="H66" s="32">
        <v>0.78</v>
      </c>
      <c r="I66" s="37">
        <v>2106</v>
      </c>
    </row>
    <row r="67" spans="1:9" ht="16.5" customHeight="1" x14ac:dyDescent="0.15">
      <c r="A67" s="29">
        <v>8</v>
      </c>
      <c r="B67" s="11" t="str">
        <f>VLOOKUP(Tabela2[[#This Row],[CodProd]],Tabela14[#All],2,0)</f>
        <v>COMPRESSA NÃO ESTÉRIL – 9 FIOSCOMPRESSA 9 FIOS</v>
      </c>
      <c r="C67" s="12" t="s">
        <v>7</v>
      </c>
      <c r="D67" s="12" t="s">
        <v>8</v>
      </c>
      <c r="E67" s="27">
        <f>VLOOKUP(Tabela2[[#This Row],[CodProd]],Tabela14[],4,0)</f>
        <v>105</v>
      </c>
      <c r="F67" s="12" t="s">
        <v>9</v>
      </c>
      <c r="G67" s="23">
        <v>11304</v>
      </c>
      <c r="H67" s="33">
        <v>6.5110999999999999</v>
      </c>
      <c r="I67" s="38">
        <v>73602</v>
      </c>
    </row>
    <row r="68" spans="1:9" ht="16.5" customHeight="1" x14ac:dyDescent="0.2">
      <c r="A68" s="28">
        <v>51</v>
      </c>
      <c r="B68" s="11" t="str">
        <f>VLOOKUP(Tabela2[[#This Row],[CodProd]],Tabela14[#All],2,0)</f>
        <v>COMPRESSA NÃO ESTÉRIL – 9 FIOSCOMPRESSA 9 FIOS</v>
      </c>
      <c r="C68" s="11" t="s">
        <v>7</v>
      </c>
      <c r="D68" s="11" t="s">
        <v>8</v>
      </c>
      <c r="E68" s="27" t="str">
        <f>VLOOKUP(Tabela2[[#This Row],[CodProd]],Tabela14[],4,0)</f>
        <v>210</v>
      </c>
      <c r="F68" s="11" t="s">
        <v>11</v>
      </c>
      <c r="G68" s="22">
        <v>9440</v>
      </c>
      <c r="H68" s="32">
        <v>12.955399999999999</v>
      </c>
      <c r="I68" s="37">
        <v>122298.624</v>
      </c>
    </row>
    <row r="69" spans="1:9" ht="16.5" customHeight="1" x14ac:dyDescent="0.15">
      <c r="A69" s="29">
        <v>13</v>
      </c>
      <c r="B69" s="11" t="str">
        <f>VLOOKUP(Tabela2[[#This Row],[CodProd]],Tabela14[#All],2,0)</f>
        <v>COMPRESSA NÃO ESTÉRIL – 9 FIOSCOMPRESSA 9 FIOS</v>
      </c>
      <c r="C69" s="12" t="s">
        <v>7</v>
      </c>
      <c r="D69" s="12" t="s">
        <v>8</v>
      </c>
      <c r="E69" s="27" t="str">
        <f>VLOOKUP(Tabela2[[#This Row],[CodProd]],Tabela14[],4,0)</f>
        <v>150</v>
      </c>
      <c r="F69" s="12" t="s">
        <v>9</v>
      </c>
      <c r="G69" s="23">
        <v>500</v>
      </c>
      <c r="H69" s="33">
        <v>10.5</v>
      </c>
      <c r="I69" s="38">
        <v>5250</v>
      </c>
    </row>
    <row r="70" spans="1:9" ht="16.5" customHeight="1" x14ac:dyDescent="0.2">
      <c r="A70" s="28">
        <v>313</v>
      </c>
      <c r="B70" s="11" t="str">
        <f>VLOOKUP(Tabela2[[#This Row],[CodProd]],Tabela14[#All],2,0)</f>
        <v>COMPRESSA NÃO ESTÉRIL – 11 FIOSCOMPRESSA 11 FIOS</v>
      </c>
      <c r="C70" s="11" t="s">
        <v>7</v>
      </c>
      <c r="D70" s="11" t="s">
        <v>8</v>
      </c>
      <c r="E70" s="27" t="str">
        <f>VLOOKUP(Tabela2[[#This Row],[CodProd]],Tabela14[],4,0)</f>
        <v>160</v>
      </c>
      <c r="F70" s="11" t="s">
        <v>9</v>
      </c>
      <c r="G70" s="22">
        <v>3000</v>
      </c>
      <c r="H70" s="32">
        <v>11</v>
      </c>
      <c r="I70" s="37">
        <v>33000</v>
      </c>
    </row>
    <row r="71" spans="1:9" ht="16.5" customHeight="1" x14ac:dyDescent="0.15">
      <c r="A71" s="29">
        <v>339</v>
      </c>
      <c r="B71" s="11" t="str">
        <f>VLOOKUP(Tabela2[[#This Row],[CodProd]],Tabela14[#All],2,0)</f>
        <v>COMPRESSA NÃO ESTÉRIL – 11 FIOSCOMPRESSA 11 FIOS</v>
      </c>
      <c r="C71" s="12" t="s">
        <v>7</v>
      </c>
      <c r="D71" s="12" t="s">
        <v>8</v>
      </c>
      <c r="E71" s="27" t="str">
        <f>VLOOKUP(Tabela2[[#This Row],[CodProd]],Tabela14[],4,0)</f>
        <v>240</v>
      </c>
      <c r="F71" s="12" t="s">
        <v>11</v>
      </c>
      <c r="G71" s="23">
        <v>1568</v>
      </c>
      <c r="H71" s="33">
        <v>15.817399999999999</v>
      </c>
      <c r="I71" s="38">
        <v>24801.664000000001</v>
      </c>
    </row>
    <row r="72" spans="1:9" ht="16.5" customHeight="1" x14ac:dyDescent="0.2">
      <c r="A72" s="28">
        <v>2080</v>
      </c>
      <c r="B72" s="11" t="s">
        <v>69</v>
      </c>
      <c r="C72" s="11" t="s">
        <v>7</v>
      </c>
      <c r="D72" s="11" t="s">
        <v>8</v>
      </c>
      <c r="E72" s="27">
        <f>VLOOKUP(Tabela2[[#This Row],[CodProd]],Tabela14[],4,0)</f>
        <v>240</v>
      </c>
      <c r="F72" s="11" t="s">
        <v>11</v>
      </c>
      <c r="G72" s="22">
        <v>2272</v>
      </c>
      <c r="H72" s="32">
        <v>8.8576999999999995</v>
      </c>
      <c r="I72" s="37">
        <v>20124.8</v>
      </c>
    </row>
    <row r="73" spans="1:9" ht="16.5" customHeight="1" x14ac:dyDescent="0.15">
      <c r="A73" s="29">
        <v>321</v>
      </c>
      <c r="B73" s="11" t="str">
        <f>VLOOKUP(Tabela2[[#This Row],[CodProd]],Tabela14[#All],2,0)</f>
        <v>COMPRESSA NÃO ESTÉRIL – 13 FIOSCOMPRESSA 13 FIOS</v>
      </c>
      <c r="C73" s="12" t="s">
        <v>7</v>
      </c>
      <c r="D73" s="12" t="s">
        <v>8</v>
      </c>
      <c r="E73" s="27" t="str">
        <f>VLOOKUP(Tabela2[[#This Row],[CodProd]],Tabela14[],4,0)</f>
        <v>100</v>
      </c>
      <c r="F73" s="12" t="s">
        <v>9</v>
      </c>
      <c r="G73" s="23">
        <v>3024</v>
      </c>
      <c r="H73" s="33">
        <v>6.8433000000000002</v>
      </c>
      <c r="I73" s="38">
        <v>20694.240000000002</v>
      </c>
    </row>
    <row r="74" spans="1:9" ht="16.5" customHeight="1" x14ac:dyDescent="0.2">
      <c r="A74" s="28">
        <v>326</v>
      </c>
      <c r="B74" s="11" t="str">
        <f>VLOOKUP(Tabela2[[#This Row],[CodProd]],Tabela14[#All],2,0)</f>
        <v>COMPRESSA NÃO ESTÉRIL – 13 FIOSCOMPRESSA 13 FIOS</v>
      </c>
      <c r="C74" s="11" t="s">
        <v>7</v>
      </c>
      <c r="D74" s="11" t="s">
        <v>8</v>
      </c>
      <c r="E74" s="27" t="str">
        <f>VLOOKUP(Tabela2[[#This Row],[CodProd]],Tabela14[],4,0)</f>
        <v>150</v>
      </c>
      <c r="F74" s="11" t="s">
        <v>9</v>
      </c>
      <c r="G74" s="22">
        <v>50</v>
      </c>
      <c r="H74" s="32">
        <v>12.56</v>
      </c>
      <c r="I74" s="37">
        <v>628</v>
      </c>
    </row>
    <row r="75" spans="1:9" ht="16.5" customHeight="1" x14ac:dyDescent="0.15">
      <c r="A75" s="29">
        <v>2072</v>
      </c>
      <c r="B75" s="11" t="s">
        <v>69</v>
      </c>
      <c r="C75" s="12" t="s">
        <v>7</v>
      </c>
      <c r="D75" s="12" t="s">
        <v>8</v>
      </c>
      <c r="E75" s="27">
        <f>VLOOKUP(Tabela2[[#This Row],[CodProd]],Tabela14[],4,0)</f>
        <v>250</v>
      </c>
      <c r="F75" s="12" t="s">
        <v>11</v>
      </c>
      <c r="G75" s="23">
        <v>3040</v>
      </c>
      <c r="H75" s="33">
        <v>15.9</v>
      </c>
      <c r="I75" s="38">
        <v>48336</v>
      </c>
    </row>
    <row r="76" spans="1:9" ht="16.5" customHeight="1" x14ac:dyDescent="0.2">
      <c r="A76" s="28">
        <v>349</v>
      </c>
      <c r="B76" s="11" t="str">
        <f>VLOOKUP(Tabela2[[#This Row],[CodProd]],Tabela14[#All],2,0)</f>
        <v>COMPRESSA NÃO ESTÉRIL – 13 FIOSCOMPRESSA 13 FIOS</v>
      </c>
      <c r="C76" s="11" t="s">
        <v>7</v>
      </c>
      <c r="D76" s="11" t="s">
        <v>8</v>
      </c>
      <c r="E76" s="27" t="str">
        <f>VLOOKUP(Tabela2[[#This Row],[CodProd]],Tabela14[],4,0)</f>
        <v>270</v>
      </c>
      <c r="F76" s="11" t="s">
        <v>11</v>
      </c>
      <c r="G76" s="22">
        <v>1408</v>
      </c>
      <c r="H76" s="32">
        <v>17.4419</v>
      </c>
      <c r="I76" s="37">
        <v>24558.156800000001</v>
      </c>
    </row>
    <row r="77" spans="1:9" ht="16.5" customHeight="1" x14ac:dyDescent="0.15">
      <c r="A77" s="29">
        <v>2063</v>
      </c>
      <c r="B77" s="11" t="s">
        <v>71</v>
      </c>
      <c r="C77" s="12" t="s">
        <v>7</v>
      </c>
      <c r="D77" s="12" t="s">
        <v>8</v>
      </c>
      <c r="E77" s="27">
        <f>VLOOKUP(Tabela2[[#This Row],[CodProd]],Tabela14[],4,0)</f>
        <v>450</v>
      </c>
      <c r="F77" s="12" t="s">
        <v>14</v>
      </c>
      <c r="G77" s="23">
        <v>504</v>
      </c>
      <c r="H77" s="33">
        <v>23.7</v>
      </c>
      <c r="I77" s="38">
        <v>11944.8</v>
      </c>
    </row>
    <row r="78" spans="1:9" ht="16.5" customHeight="1" x14ac:dyDescent="0.2">
      <c r="A78" s="30">
        <v>329</v>
      </c>
      <c r="B78" s="11" t="str">
        <f>VLOOKUP(Tabela2[[#This Row],[CodProd]],Tabela14[#All],2,0)</f>
        <v>COMPRESSA NÃO ESTÉRIL – 13 FIOSCOMPRESSA 13 FIOS</v>
      </c>
      <c r="C78" s="13" t="s">
        <v>7</v>
      </c>
      <c r="D78" s="13" t="s">
        <v>8</v>
      </c>
      <c r="E78" s="27" t="str">
        <f>VLOOKUP(Tabela2[[#This Row],[CodProd]],Tabela14[],4,0)</f>
        <v>180</v>
      </c>
      <c r="F78" s="13" t="s">
        <v>9</v>
      </c>
      <c r="G78" s="24">
        <v>800</v>
      </c>
      <c r="H78" s="34">
        <v>14.22</v>
      </c>
      <c r="I78" s="39">
        <v>11376</v>
      </c>
    </row>
    <row r="79" spans="1:9" ht="13.5" customHeight="1" x14ac:dyDescent="0.25">
      <c r="A79" s="2"/>
      <c r="B79" s="2"/>
      <c r="C79" s="2"/>
      <c r="D79" s="2"/>
      <c r="E79" s="2"/>
      <c r="F79" s="2"/>
      <c r="G79" s="25">
        <v>2254225</v>
      </c>
      <c r="H79" s="35">
        <v>753.17830000000004</v>
      </c>
      <c r="I79" s="19">
        <v>2799581.8292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3A6D-977F-4B5C-928E-F6FF30B6C07D}">
  <dimension ref="A1:G379"/>
  <sheetViews>
    <sheetView workbookViewId="0">
      <selection activeCell="D8" sqref="D8"/>
    </sheetView>
  </sheetViews>
  <sheetFormatPr defaultRowHeight="15" x14ac:dyDescent="0.25"/>
  <cols>
    <col min="1" max="1" width="10" bestFit="1" customWidth="1"/>
    <col min="2" max="2" width="55.140625" bestFit="1" customWidth="1"/>
    <col min="3" max="3" width="24.5703125" bestFit="1" customWidth="1"/>
    <col min="4" max="4" width="12.7109375" style="3" bestFit="1" customWidth="1"/>
    <col min="5" max="5" width="10.5703125" bestFit="1" customWidth="1"/>
    <col min="6" max="6" width="55.140625" bestFit="1" customWidth="1"/>
    <col min="7" max="7" width="10.5703125" bestFit="1" customWidth="1"/>
  </cols>
  <sheetData>
    <row r="1" spans="1:7" x14ac:dyDescent="0.25">
      <c r="A1" t="s">
        <v>73</v>
      </c>
      <c r="B1" t="s">
        <v>74</v>
      </c>
      <c r="C1" t="s">
        <v>75</v>
      </c>
      <c r="D1" s="3" t="s">
        <v>76</v>
      </c>
      <c r="E1" t="s">
        <v>77</v>
      </c>
      <c r="F1" t="s">
        <v>78</v>
      </c>
      <c r="G1" t="s">
        <v>79</v>
      </c>
    </row>
    <row r="2" spans="1:7" x14ac:dyDescent="0.25">
      <c r="A2" s="7">
        <v>2073</v>
      </c>
      <c r="B2" s="7" t="s">
        <v>43</v>
      </c>
      <c r="C2" s="7" t="s">
        <v>80</v>
      </c>
      <c r="G2" s="4"/>
    </row>
    <row r="3" spans="1:7" x14ac:dyDescent="0.25">
      <c r="A3" s="9">
        <v>2070</v>
      </c>
      <c r="B3" s="7" t="s">
        <v>48</v>
      </c>
      <c r="C3" s="7" t="s">
        <v>82</v>
      </c>
      <c r="D3" s="10">
        <v>210</v>
      </c>
      <c r="G3" s="4"/>
    </row>
    <row r="4" spans="1:7" x14ac:dyDescent="0.25">
      <c r="A4" s="8">
        <v>2080</v>
      </c>
      <c r="B4" s="7" t="s">
        <v>69</v>
      </c>
      <c r="C4" s="7" t="s">
        <v>82</v>
      </c>
      <c r="D4" s="10">
        <v>240</v>
      </c>
      <c r="G4" s="4"/>
    </row>
    <row r="5" spans="1:7" x14ac:dyDescent="0.25">
      <c r="A5" s="9">
        <v>2072</v>
      </c>
      <c r="B5" s="7" t="s">
        <v>69</v>
      </c>
      <c r="C5" s="7" t="s">
        <v>82</v>
      </c>
      <c r="D5" s="10">
        <v>250</v>
      </c>
      <c r="G5" s="4"/>
    </row>
    <row r="6" spans="1:7" x14ac:dyDescent="0.25">
      <c r="A6" s="9">
        <v>2063</v>
      </c>
      <c r="B6" s="7" t="s">
        <v>71</v>
      </c>
      <c r="C6" s="7" t="s">
        <v>84</v>
      </c>
      <c r="D6" s="10">
        <v>450</v>
      </c>
      <c r="G6" s="4"/>
    </row>
    <row r="7" spans="1:7" x14ac:dyDescent="0.25">
      <c r="A7">
        <v>1</v>
      </c>
      <c r="B7" t="s">
        <v>366</v>
      </c>
      <c r="C7" t="s">
        <v>80</v>
      </c>
      <c r="D7" s="3" t="s">
        <v>81</v>
      </c>
      <c r="E7">
        <f>VLOOKUP(Tabela14[[#This Row],[ID_COD]],[1]!Tabela2[#Data],6,0)</f>
        <v>1000</v>
      </c>
      <c r="F7" t="s">
        <v>58</v>
      </c>
      <c r="G7" s="4">
        <v>0.38</v>
      </c>
    </row>
    <row r="8" spans="1:7" x14ac:dyDescent="0.25">
      <c r="A8">
        <v>2</v>
      </c>
      <c r="B8" t="s">
        <v>367</v>
      </c>
      <c r="C8" t="s">
        <v>80</v>
      </c>
      <c r="D8" s="3" t="s">
        <v>81</v>
      </c>
      <c r="E8">
        <f>VLOOKUP(Tabela14[[#This Row],[ID_COD]],[1]!Tabela2[#Data],6,0)</f>
        <v>1000</v>
      </c>
      <c r="F8" t="s">
        <v>61</v>
      </c>
      <c r="G8" s="4">
        <v>0.4</v>
      </c>
    </row>
    <row r="9" spans="1:7" x14ac:dyDescent="0.25">
      <c r="A9">
        <v>3</v>
      </c>
      <c r="B9" t="s">
        <v>368</v>
      </c>
      <c r="C9" t="s">
        <v>80</v>
      </c>
      <c r="D9" s="3" t="s">
        <v>81</v>
      </c>
      <c r="E9">
        <f>VLOOKUP(Tabela14[[#This Row],[ID_COD]],[1]!Tabela2[#Data],6,0)</f>
        <v>1000</v>
      </c>
      <c r="F9" t="s">
        <v>63</v>
      </c>
      <c r="G9" s="4">
        <v>0.42</v>
      </c>
    </row>
    <row r="10" spans="1:7" x14ac:dyDescent="0.25">
      <c r="A10">
        <v>152</v>
      </c>
      <c r="B10" t="s">
        <v>366</v>
      </c>
      <c r="C10" t="s">
        <v>82</v>
      </c>
      <c r="D10" s="3" t="s">
        <v>81</v>
      </c>
      <c r="E10">
        <f>VLOOKUP(Tabela14[[#This Row],[ID_COD]],[1]!Tabela2[#Data],6,0)</f>
        <v>1000</v>
      </c>
      <c r="F10" t="s">
        <v>83</v>
      </c>
      <c r="G10" s="4">
        <v>0.44</v>
      </c>
    </row>
    <row r="11" spans="1:7" x14ac:dyDescent="0.25">
      <c r="A11">
        <v>153</v>
      </c>
      <c r="B11" t="s">
        <v>367</v>
      </c>
      <c r="C11" t="s">
        <v>82</v>
      </c>
      <c r="D11" s="3" t="s">
        <v>81</v>
      </c>
      <c r="E11">
        <f>VLOOKUP(Tabela14[[#This Row],[ID_COD]],[1]!Tabela2[#Data],6,0)</f>
        <v>1000</v>
      </c>
      <c r="F11" t="s">
        <v>59</v>
      </c>
      <c r="G11" s="4">
        <v>0.47</v>
      </c>
    </row>
    <row r="12" spans="1:7" x14ac:dyDescent="0.25">
      <c r="A12">
        <v>154</v>
      </c>
      <c r="B12" t="s">
        <v>368</v>
      </c>
      <c r="C12" t="s">
        <v>82</v>
      </c>
      <c r="D12" s="3" t="s">
        <v>81</v>
      </c>
      <c r="E12">
        <f>VLOOKUP(Tabela14[[#This Row],[ID_COD]],[1]!Tabela2[#Data],6,0)</f>
        <v>1000</v>
      </c>
      <c r="F12" t="s">
        <v>62</v>
      </c>
      <c r="G12" s="4">
        <v>0.49</v>
      </c>
    </row>
    <row r="13" spans="1:7" x14ac:dyDescent="0.25">
      <c r="A13">
        <v>1641</v>
      </c>
      <c r="B13" t="s">
        <v>366</v>
      </c>
      <c r="C13" t="s">
        <v>84</v>
      </c>
      <c r="D13" s="3" t="s">
        <v>81</v>
      </c>
      <c r="E13">
        <f>VLOOKUP(Tabela14[[#This Row],[ID_COD]],[1]!Tabela2[#Data],6,0)</f>
        <v>0</v>
      </c>
      <c r="F13" t="s">
        <v>57</v>
      </c>
      <c r="G13" s="4">
        <v>0.6</v>
      </c>
    </row>
    <row r="14" spans="1:7" x14ac:dyDescent="0.25">
      <c r="A14">
        <v>1642</v>
      </c>
      <c r="B14" t="s">
        <v>367</v>
      </c>
      <c r="C14" t="s">
        <v>84</v>
      </c>
      <c r="D14" s="3" t="s">
        <v>81</v>
      </c>
      <c r="E14">
        <f>VLOOKUP(Tabela14[[#This Row],[ID_COD]],[1]!Tabela2[#Data],6,0)</f>
        <v>1000</v>
      </c>
      <c r="F14" t="s">
        <v>60</v>
      </c>
      <c r="G14" s="4">
        <v>0.62</v>
      </c>
    </row>
    <row r="15" spans="1:7" x14ac:dyDescent="0.25">
      <c r="A15">
        <v>1643</v>
      </c>
      <c r="B15" t="s">
        <v>368</v>
      </c>
      <c r="C15" t="s">
        <v>84</v>
      </c>
      <c r="D15" s="3" t="s">
        <v>81</v>
      </c>
      <c r="E15">
        <f>VLOOKUP(Tabela14[[#This Row],[ID_COD]],[1]!Tabela2[#Data],6,0)</f>
        <v>900</v>
      </c>
      <c r="F15" t="s">
        <v>85</v>
      </c>
      <c r="G15" s="4">
        <v>0.65</v>
      </c>
    </row>
    <row r="16" spans="1:7" x14ac:dyDescent="0.25">
      <c r="A16">
        <v>1587</v>
      </c>
      <c r="B16" t="s">
        <v>369</v>
      </c>
      <c r="C16" t="s">
        <v>80</v>
      </c>
      <c r="D16" s="3" t="s">
        <v>81</v>
      </c>
      <c r="E16">
        <f>VLOOKUP(Tabela14[[#This Row],[ID_COD]],[1]!Tabela2[#Data],6,0)</f>
        <v>300</v>
      </c>
      <c r="F16" t="s">
        <v>86</v>
      </c>
      <c r="G16" s="4">
        <v>2.8</v>
      </c>
    </row>
    <row r="17" spans="1:7" x14ac:dyDescent="0.25">
      <c r="A17">
        <v>1588</v>
      </c>
      <c r="B17" t="s">
        <v>370</v>
      </c>
      <c r="C17" t="s">
        <v>80</v>
      </c>
      <c r="D17" s="3" t="s">
        <v>81</v>
      </c>
      <c r="E17">
        <f>VLOOKUP(Tabela14[[#This Row],[ID_COD]],[1]!Tabela2[#Data],6,0)</f>
        <v>150</v>
      </c>
      <c r="F17" t="s">
        <v>87</v>
      </c>
      <c r="G17" s="4">
        <v>5.18</v>
      </c>
    </row>
    <row r="18" spans="1:7" x14ac:dyDescent="0.25">
      <c r="A18">
        <v>1586</v>
      </c>
      <c r="B18" t="s">
        <v>371</v>
      </c>
      <c r="C18" t="s">
        <v>80</v>
      </c>
      <c r="D18" s="3" t="s">
        <v>81</v>
      </c>
      <c r="E18">
        <f>VLOOKUP(Tabela14[[#This Row],[ID_COD]],[1]!Tabela2[#Data],6,0)</f>
        <v>12</v>
      </c>
      <c r="F18" t="s">
        <v>44</v>
      </c>
      <c r="G18" s="4">
        <v>49.5</v>
      </c>
    </row>
    <row r="19" spans="1:7" x14ac:dyDescent="0.25">
      <c r="A19">
        <v>157</v>
      </c>
      <c r="B19" t="s">
        <v>369</v>
      </c>
      <c r="C19" t="s">
        <v>82</v>
      </c>
      <c r="D19" s="3" t="s">
        <v>81</v>
      </c>
      <c r="E19">
        <f>VLOOKUP(Tabela14[[#This Row],[ID_COD]],[1]!Tabela2[#Data],6,0)</f>
        <v>300</v>
      </c>
      <c r="F19" t="s">
        <v>42</v>
      </c>
      <c r="G19" s="4">
        <v>2.8</v>
      </c>
    </row>
    <row r="20" spans="1:7" x14ac:dyDescent="0.25">
      <c r="A20">
        <v>158</v>
      </c>
      <c r="B20" t="s">
        <v>370</v>
      </c>
      <c r="C20" t="s">
        <v>82</v>
      </c>
      <c r="D20" s="3" t="s">
        <v>81</v>
      </c>
      <c r="E20">
        <f>VLOOKUP(Tabela14[[#This Row],[ID_COD]],[1]!Tabela2[#Data],6,0)</f>
        <v>150</v>
      </c>
      <c r="F20" t="s">
        <v>43</v>
      </c>
      <c r="G20" s="4">
        <v>6.98</v>
      </c>
    </row>
    <row r="21" spans="1:7" x14ac:dyDescent="0.25">
      <c r="A21">
        <v>155</v>
      </c>
      <c r="B21" t="s">
        <v>371</v>
      </c>
      <c r="C21" t="s">
        <v>82</v>
      </c>
      <c r="D21" s="3" t="s">
        <v>81</v>
      </c>
      <c r="E21">
        <f>VLOOKUP(Tabela14[[#This Row],[ID_COD]],[1]!Tabela2[#Data],6,0)</f>
        <v>12</v>
      </c>
      <c r="F21" t="s">
        <v>45</v>
      </c>
      <c r="G21" s="4">
        <v>71</v>
      </c>
    </row>
    <row r="22" spans="1:7" x14ac:dyDescent="0.25">
      <c r="A22">
        <v>1639</v>
      </c>
      <c r="B22" t="s">
        <v>369</v>
      </c>
      <c r="C22" t="s">
        <v>84</v>
      </c>
      <c r="D22" s="3" t="s">
        <v>81</v>
      </c>
      <c r="E22">
        <f>VLOOKUP(Tabela14[[#This Row],[ID_COD]],[1]!Tabela2[#Data],6,0)</f>
        <v>0</v>
      </c>
      <c r="F22" t="s">
        <v>42</v>
      </c>
      <c r="G22" s="4">
        <v>4.28</v>
      </c>
    </row>
    <row r="23" spans="1:7" x14ac:dyDescent="0.25">
      <c r="A23">
        <v>1640</v>
      </c>
      <c r="B23" t="s">
        <v>370</v>
      </c>
      <c r="C23" t="s">
        <v>84</v>
      </c>
      <c r="D23" s="3" t="s">
        <v>81</v>
      </c>
      <c r="E23">
        <f>VLOOKUP(Tabela14[[#This Row],[ID_COD]],[1]!Tabela2[#Data],6,0)</f>
        <v>150</v>
      </c>
      <c r="F23" t="s">
        <v>43</v>
      </c>
      <c r="G23" s="4">
        <v>7.96</v>
      </c>
    </row>
    <row r="24" spans="1:7" x14ac:dyDescent="0.25">
      <c r="A24">
        <v>1209</v>
      </c>
      <c r="B24" t="s">
        <v>371</v>
      </c>
      <c r="C24" t="s">
        <v>84</v>
      </c>
      <c r="D24" s="3" t="s">
        <v>81</v>
      </c>
      <c r="E24">
        <f>VLOOKUP(Tabela14[[#This Row],[ID_COD]],[1]!Tabela2[#Data],6,0)</f>
        <v>12</v>
      </c>
      <c r="F24" t="s">
        <v>88</v>
      </c>
      <c r="G24" s="4">
        <v>86.5</v>
      </c>
    </row>
    <row r="25" spans="1:7" x14ac:dyDescent="0.25">
      <c r="A25">
        <v>5</v>
      </c>
      <c r="B25" t="s">
        <v>303</v>
      </c>
      <c r="C25" t="s">
        <v>80</v>
      </c>
      <c r="D25" s="3" t="s">
        <v>89</v>
      </c>
      <c r="E25">
        <f>VLOOKUP(Tabela14[[#This Row],[ID_COD]],[1]!Tabela2[#Data],6,0)</f>
        <v>0</v>
      </c>
      <c r="F25" t="s">
        <v>64</v>
      </c>
      <c r="G25" s="4">
        <f>(Tabela14[[#This Row],[Gramatura]]*6.99)/105</f>
        <v>4.66</v>
      </c>
    </row>
    <row r="26" spans="1:7" x14ac:dyDescent="0.25">
      <c r="A26">
        <v>6</v>
      </c>
      <c r="B26" t="s">
        <v>303</v>
      </c>
      <c r="C26" t="s">
        <v>80</v>
      </c>
      <c r="D26" s="3" t="s">
        <v>90</v>
      </c>
      <c r="E26">
        <f>VLOOKUP(Tabela14[[#This Row],[ID_COD]],[1]!Tabela2[#Data],6,0)</f>
        <v>0</v>
      </c>
      <c r="F26" t="s">
        <v>64</v>
      </c>
      <c r="G26" s="4">
        <f>(Tabela14[[#This Row],[Gramatura]]*6.99)/105</f>
        <v>5.3257142857142865</v>
      </c>
    </row>
    <row r="27" spans="1:7" x14ac:dyDescent="0.25">
      <c r="A27">
        <v>7</v>
      </c>
      <c r="B27" t="s">
        <v>303</v>
      </c>
      <c r="C27" t="s">
        <v>80</v>
      </c>
      <c r="D27" s="3" t="s">
        <v>91</v>
      </c>
      <c r="E27">
        <f>VLOOKUP(Tabela14[[#This Row],[ID_COD]],[1]!Tabela2[#Data],6,0)</f>
        <v>0</v>
      </c>
      <c r="F27" t="s">
        <v>92</v>
      </c>
      <c r="G27" s="4">
        <f>(Tabela14[[#This Row],[Gramatura]]*6.99)/105</f>
        <v>5.991428571428572</v>
      </c>
    </row>
    <row r="28" spans="1:7" x14ac:dyDescent="0.25">
      <c r="A28">
        <v>8</v>
      </c>
      <c r="B28" t="s">
        <v>303</v>
      </c>
      <c r="C28" t="s">
        <v>80</v>
      </c>
      <c r="D28" s="5">
        <v>105</v>
      </c>
      <c r="E28">
        <f>VLOOKUP(Tabela14[[#This Row],[ID_COD]],[1]!Tabela2[#Data],6,0)</f>
        <v>72</v>
      </c>
      <c r="F28" t="s">
        <v>64</v>
      </c>
      <c r="G28" s="4">
        <v>6.99</v>
      </c>
    </row>
    <row r="29" spans="1:7" x14ac:dyDescent="0.25">
      <c r="A29">
        <v>9</v>
      </c>
      <c r="B29" t="s">
        <v>303</v>
      </c>
      <c r="C29" t="s">
        <v>80</v>
      </c>
      <c r="D29" s="3" t="s">
        <v>93</v>
      </c>
      <c r="E29">
        <f>VLOOKUP(Tabela14[[#This Row],[ID_COD]],[1]!Tabela2[#Data],6,0)</f>
        <v>0</v>
      </c>
      <c r="F29" t="s">
        <v>94</v>
      </c>
      <c r="G29" s="4">
        <v>7.322857142857143</v>
      </c>
    </row>
    <row r="30" spans="1:7" x14ac:dyDescent="0.25">
      <c r="A30">
        <v>10</v>
      </c>
      <c r="B30" t="s">
        <v>303</v>
      </c>
      <c r="C30" t="s">
        <v>80</v>
      </c>
      <c r="D30" s="3" t="s">
        <v>95</v>
      </c>
      <c r="E30">
        <f>VLOOKUP(Tabela14[[#This Row],[ID_COD]],[1]!Tabela2[#Data],6,0)</f>
        <v>60</v>
      </c>
      <c r="F30" t="s">
        <v>96</v>
      </c>
      <c r="G30" s="4">
        <v>7.9885714285714293</v>
      </c>
    </row>
    <row r="31" spans="1:7" x14ac:dyDescent="0.25">
      <c r="A31">
        <v>11</v>
      </c>
      <c r="B31" t="s">
        <v>303</v>
      </c>
      <c r="C31" t="s">
        <v>80</v>
      </c>
      <c r="D31" s="3" t="s">
        <v>97</v>
      </c>
      <c r="E31">
        <f>VLOOKUP(Tabela14[[#This Row],[ID_COD]],[1]!Tabela2[#Data],6,0)</f>
        <v>50</v>
      </c>
      <c r="F31" t="s">
        <v>98</v>
      </c>
      <c r="G31" s="4">
        <v>8.6542857142857148</v>
      </c>
    </row>
    <row r="32" spans="1:7" x14ac:dyDescent="0.25">
      <c r="A32">
        <v>12</v>
      </c>
      <c r="B32" t="s">
        <v>303</v>
      </c>
      <c r="C32" t="s">
        <v>80</v>
      </c>
      <c r="D32" s="3" t="s">
        <v>99</v>
      </c>
      <c r="E32">
        <f>VLOOKUP(Tabela14[[#This Row],[ID_COD]],[1]!Tabela2[#Data],6,0)</f>
        <v>0</v>
      </c>
      <c r="F32" t="s">
        <v>100</v>
      </c>
      <c r="G32" s="4">
        <v>9.32</v>
      </c>
    </row>
    <row r="33" spans="1:7" x14ac:dyDescent="0.25">
      <c r="A33">
        <v>13</v>
      </c>
      <c r="B33" t="s">
        <v>303</v>
      </c>
      <c r="C33" t="s">
        <v>80</v>
      </c>
      <c r="D33" s="3" t="s">
        <v>101</v>
      </c>
      <c r="E33">
        <f>VLOOKUP(Tabela14[[#This Row],[ID_COD]],[1]!Tabela2[#Data],6,0)</f>
        <v>50</v>
      </c>
      <c r="F33" t="s">
        <v>66</v>
      </c>
      <c r="G33" s="4">
        <v>10.88</v>
      </c>
    </row>
    <row r="34" spans="1:7" x14ac:dyDescent="0.25">
      <c r="A34">
        <v>14</v>
      </c>
      <c r="B34" t="s">
        <v>303</v>
      </c>
      <c r="C34" t="s">
        <v>80</v>
      </c>
      <c r="D34" s="3" t="s">
        <v>102</v>
      </c>
      <c r="E34">
        <f>VLOOKUP(Tabela14[[#This Row],[ID_COD]],[1]!Tabela2[#Data],6,0)</f>
        <v>0</v>
      </c>
      <c r="F34" t="s">
        <v>103</v>
      </c>
      <c r="G34" s="4">
        <v>10.651428571428573</v>
      </c>
    </row>
    <row r="35" spans="1:7" x14ac:dyDescent="0.25">
      <c r="A35">
        <v>15</v>
      </c>
      <c r="B35" t="s">
        <v>303</v>
      </c>
      <c r="C35" t="s">
        <v>80</v>
      </c>
      <c r="D35" s="3" t="s">
        <v>39</v>
      </c>
      <c r="E35">
        <f>VLOOKUP(Tabela14[[#This Row],[ID_COD]],[1]!Tabela2[#Data],6,0)</f>
        <v>0</v>
      </c>
      <c r="F35" t="s">
        <v>104</v>
      </c>
      <c r="G35" s="4">
        <v>11.317142857142857</v>
      </c>
    </row>
    <row r="36" spans="1:7" x14ac:dyDescent="0.25">
      <c r="A36">
        <v>16</v>
      </c>
      <c r="B36" t="s">
        <v>303</v>
      </c>
      <c r="C36" t="s">
        <v>80</v>
      </c>
      <c r="D36" s="3" t="s">
        <v>105</v>
      </c>
      <c r="E36">
        <f>VLOOKUP(Tabela14[[#This Row],[ID_COD]],[1]!Tabela2[#Data],6,0)</f>
        <v>40</v>
      </c>
      <c r="F36" t="s">
        <v>106</v>
      </c>
      <c r="G36" s="4">
        <v>11.982857142857144</v>
      </c>
    </row>
    <row r="37" spans="1:7" x14ac:dyDescent="0.25">
      <c r="A37">
        <v>17</v>
      </c>
      <c r="B37" t="s">
        <v>303</v>
      </c>
      <c r="C37" t="s">
        <v>80</v>
      </c>
      <c r="D37" s="3" t="s">
        <v>107</v>
      </c>
      <c r="E37">
        <f>VLOOKUP(Tabela14[[#This Row],[ID_COD]],[1]!Tabela2[#Data],6,0)</f>
        <v>0</v>
      </c>
      <c r="F37" t="s">
        <v>108</v>
      </c>
      <c r="G37" s="4">
        <v>12.648571428571429</v>
      </c>
    </row>
    <row r="38" spans="1:7" x14ac:dyDescent="0.25">
      <c r="A38">
        <v>18</v>
      </c>
      <c r="B38" t="s">
        <v>303</v>
      </c>
      <c r="C38" t="s">
        <v>80</v>
      </c>
      <c r="D38" s="3" t="s">
        <v>109</v>
      </c>
      <c r="E38">
        <f>VLOOKUP(Tabela14[[#This Row],[ID_COD]],[1]!Tabela2[#Data],6,0)</f>
        <v>0</v>
      </c>
      <c r="F38" t="s">
        <v>110</v>
      </c>
      <c r="G38" s="4">
        <v>13.314285714285715</v>
      </c>
    </row>
    <row r="39" spans="1:7" x14ac:dyDescent="0.25">
      <c r="A39">
        <v>51</v>
      </c>
      <c r="B39" t="s">
        <v>303</v>
      </c>
      <c r="C39" t="s">
        <v>82</v>
      </c>
      <c r="D39" s="3" t="s">
        <v>111</v>
      </c>
      <c r="E39">
        <f>VLOOKUP(Tabela14[[#This Row],[ID_COD]],[1]!Tabela2[#Data],6,0)</f>
        <v>40</v>
      </c>
      <c r="F39" t="s">
        <v>65</v>
      </c>
      <c r="G39" s="4">
        <v>14.46</v>
      </c>
    </row>
    <row r="40" spans="1:7" x14ac:dyDescent="0.25">
      <c r="A40">
        <v>52</v>
      </c>
      <c r="B40" t="s">
        <v>303</v>
      </c>
      <c r="C40" t="s">
        <v>82</v>
      </c>
      <c r="D40" s="3" t="s">
        <v>112</v>
      </c>
      <c r="E40">
        <f>VLOOKUP(Tabela14[[#This Row],[ID_COD]],[1]!Tabela2[#Data],6,0)</f>
        <v>0</v>
      </c>
      <c r="F40" t="s">
        <v>113</v>
      </c>
      <c r="G40" s="4">
        <v>15.148571428571429</v>
      </c>
    </row>
    <row r="41" spans="1:7" x14ac:dyDescent="0.25">
      <c r="A41">
        <v>53</v>
      </c>
      <c r="B41" t="s">
        <v>303</v>
      </c>
      <c r="C41" t="s">
        <v>82</v>
      </c>
      <c r="D41" s="3" t="s">
        <v>114</v>
      </c>
      <c r="E41">
        <f>VLOOKUP(Tabela14[[#This Row],[ID_COD]],[1]!Tabela2[#Data],6,0)</f>
        <v>0</v>
      </c>
      <c r="F41" t="s">
        <v>64</v>
      </c>
      <c r="G41" s="4">
        <v>15.837142857142858</v>
      </c>
    </row>
    <row r="42" spans="1:7" x14ac:dyDescent="0.25">
      <c r="A42">
        <v>54</v>
      </c>
      <c r="B42" t="s">
        <v>303</v>
      </c>
      <c r="C42" t="s">
        <v>82</v>
      </c>
      <c r="D42" s="3" t="s">
        <v>115</v>
      </c>
      <c r="E42">
        <f>VLOOKUP(Tabela14[[#This Row],[ID_COD]],[1]!Tabela2[#Data],6,0)</f>
        <v>0</v>
      </c>
      <c r="F42" t="s">
        <v>116</v>
      </c>
      <c r="G42" s="4">
        <v>16.525714285714287</v>
      </c>
    </row>
    <row r="43" spans="1:7" x14ac:dyDescent="0.25">
      <c r="A43">
        <v>55</v>
      </c>
      <c r="B43" t="s">
        <v>303</v>
      </c>
      <c r="C43" t="s">
        <v>82</v>
      </c>
      <c r="D43" s="3" t="s">
        <v>117</v>
      </c>
      <c r="E43">
        <f>VLOOKUP(Tabela14[[#This Row],[ID_COD]],[1]!Tabela2[#Data],6,0)</f>
        <v>30</v>
      </c>
      <c r="F43" t="s">
        <v>94</v>
      </c>
      <c r="G43" s="4">
        <v>17.214285714285715</v>
      </c>
    </row>
    <row r="44" spans="1:7" x14ac:dyDescent="0.25">
      <c r="A44">
        <v>56</v>
      </c>
      <c r="B44" t="s">
        <v>303</v>
      </c>
      <c r="C44" t="s">
        <v>82</v>
      </c>
      <c r="D44" s="3" t="s">
        <v>118</v>
      </c>
      <c r="E44">
        <f>VLOOKUP(Tabela14[[#This Row],[ID_COD]],[1]!Tabela2[#Data],6,0)</f>
        <v>0</v>
      </c>
      <c r="F44" t="s">
        <v>96</v>
      </c>
      <c r="G44" s="4">
        <v>17.902857142857144</v>
      </c>
    </row>
    <row r="45" spans="1:7" x14ac:dyDescent="0.25">
      <c r="A45">
        <v>57</v>
      </c>
      <c r="B45" t="s">
        <v>303</v>
      </c>
      <c r="C45" t="s">
        <v>82</v>
      </c>
      <c r="D45" s="3" t="s">
        <v>119</v>
      </c>
      <c r="E45">
        <f>VLOOKUP(Tabela14[[#This Row],[ID_COD]],[1]!Tabela2[#Data],6,0)</f>
        <v>0</v>
      </c>
      <c r="F45" t="s">
        <v>98</v>
      </c>
      <c r="G45" s="4">
        <v>18.591428571428573</v>
      </c>
    </row>
    <row r="46" spans="1:7" x14ac:dyDescent="0.25">
      <c r="A46">
        <v>58</v>
      </c>
      <c r="B46" t="s">
        <v>303</v>
      </c>
      <c r="C46" t="s">
        <v>82</v>
      </c>
      <c r="D46" s="3" t="s">
        <v>120</v>
      </c>
      <c r="E46">
        <f>VLOOKUP(Tabela14[[#This Row],[ID_COD]],[1]!Tabela2[#Data],6,0)</f>
        <v>0</v>
      </c>
      <c r="F46" t="s">
        <v>100</v>
      </c>
      <c r="G46" s="4">
        <v>19.28</v>
      </c>
    </row>
    <row r="47" spans="1:7" x14ac:dyDescent="0.25">
      <c r="A47">
        <v>59</v>
      </c>
      <c r="B47" t="s">
        <v>303</v>
      </c>
      <c r="C47" t="s">
        <v>82</v>
      </c>
      <c r="D47" s="3" t="s">
        <v>121</v>
      </c>
      <c r="E47">
        <f>VLOOKUP(Tabela14[[#This Row],[ID_COD]],[1]!Tabela2[#Data],6,0)</f>
        <v>32</v>
      </c>
      <c r="F47" t="s">
        <v>66</v>
      </c>
      <c r="G47" s="4">
        <v>19.96857142857143</v>
      </c>
    </row>
    <row r="48" spans="1:7" x14ac:dyDescent="0.25">
      <c r="A48">
        <v>60</v>
      </c>
      <c r="B48" t="s">
        <v>303</v>
      </c>
      <c r="C48" t="s">
        <v>82</v>
      </c>
      <c r="D48" s="3" t="s">
        <v>51</v>
      </c>
      <c r="E48">
        <f>VLOOKUP(Tabela14[[#This Row],[ID_COD]],[1]!Tabela2[#Data],6,0)</f>
        <v>0</v>
      </c>
      <c r="F48" t="s">
        <v>103</v>
      </c>
      <c r="G48" s="4">
        <v>20.657142857142858</v>
      </c>
    </row>
    <row r="49" spans="1:7" x14ac:dyDescent="0.25">
      <c r="A49">
        <v>61</v>
      </c>
      <c r="B49" t="s">
        <v>303</v>
      </c>
      <c r="C49" t="s">
        <v>82</v>
      </c>
      <c r="D49" s="3" t="s">
        <v>122</v>
      </c>
      <c r="E49">
        <f>VLOOKUP(Tabela14[[#This Row],[ID_COD]],[1]!Tabela2[#Data],6,0)</f>
        <v>0</v>
      </c>
      <c r="F49" t="s">
        <v>104</v>
      </c>
      <c r="G49" s="4">
        <v>21.345714285714287</v>
      </c>
    </row>
    <row r="50" spans="1:7" x14ac:dyDescent="0.25">
      <c r="A50">
        <v>19</v>
      </c>
      <c r="B50" t="s">
        <v>303</v>
      </c>
      <c r="C50" t="s">
        <v>82</v>
      </c>
      <c r="D50" s="3" t="s">
        <v>123</v>
      </c>
      <c r="E50">
        <f>VLOOKUP(Tabela14[[#This Row],[ID_COD]],[1]!Tabela2[#Data],6,0)</f>
        <v>0</v>
      </c>
      <c r="F50" t="s">
        <v>106</v>
      </c>
      <c r="G50" s="4">
        <v>22.034285714285719</v>
      </c>
    </row>
    <row r="51" spans="1:7" x14ac:dyDescent="0.25">
      <c r="A51">
        <v>1754</v>
      </c>
      <c r="B51" t="s">
        <v>303</v>
      </c>
      <c r="C51" t="s">
        <v>84</v>
      </c>
      <c r="D51" s="3" t="s">
        <v>111</v>
      </c>
      <c r="E51">
        <f>VLOOKUP(Tabela14[[#This Row],[ID_COD]],[1]!Tabela2[#Data],6,0)</f>
        <v>40</v>
      </c>
      <c r="F51" t="s">
        <v>65</v>
      </c>
      <c r="G51" s="4">
        <v>27.880000000000003</v>
      </c>
    </row>
    <row r="52" spans="1:7" x14ac:dyDescent="0.25">
      <c r="A52">
        <v>1774</v>
      </c>
      <c r="B52" t="s">
        <v>303</v>
      </c>
      <c r="C52" t="s">
        <v>84</v>
      </c>
      <c r="D52" s="3" t="s">
        <v>112</v>
      </c>
      <c r="E52">
        <f>VLOOKUP(Tabela14[[#This Row],[ID_COD]],[1]!Tabela2[#Data],6,0)</f>
        <v>0</v>
      </c>
      <c r="F52" t="s">
        <v>65</v>
      </c>
      <c r="G52" s="4">
        <v>29.207619047619044</v>
      </c>
    </row>
    <row r="53" spans="1:7" x14ac:dyDescent="0.25">
      <c r="A53">
        <v>307</v>
      </c>
      <c r="B53" t="s">
        <v>304</v>
      </c>
      <c r="C53" t="s">
        <v>80</v>
      </c>
      <c r="D53" s="3" t="s">
        <v>124</v>
      </c>
      <c r="E53">
        <f>VLOOKUP(Tabela14[[#This Row],[ID_COD]],[1]!Tabela2[#Data],6,0)</f>
        <v>72</v>
      </c>
      <c r="F53" t="s">
        <v>67</v>
      </c>
      <c r="G53" s="4">
        <v>7.4923076923076923</v>
      </c>
    </row>
    <row r="54" spans="1:7" x14ac:dyDescent="0.25">
      <c r="A54">
        <v>308</v>
      </c>
      <c r="B54" t="s">
        <v>304</v>
      </c>
      <c r="C54" t="s">
        <v>80</v>
      </c>
      <c r="D54" s="3" t="s">
        <v>93</v>
      </c>
      <c r="E54">
        <f>VLOOKUP(Tabela14[[#This Row],[ID_COD]],[1]!Tabela2[#Data],6,0)</f>
        <v>0</v>
      </c>
      <c r="F54" t="s">
        <v>67</v>
      </c>
      <c r="G54" s="4">
        <v>8.2415384615384628</v>
      </c>
    </row>
    <row r="55" spans="1:7" x14ac:dyDescent="0.25">
      <c r="A55">
        <v>309</v>
      </c>
      <c r="B55" t="s">
        <v>304</v>
      </c>
      <c r="C55" t="s">
        <v>80</v>
      </c>
      <c r="D55" s="3" t="s">
        <v>95</v>
      </c>
      <c r="E55">
        <f>VLOOKUP(Tabela14[[#This Row],[ID_COD]],[1]!Tabela2[#Data],6,0)</f>
        <v>60</v>
      </c>
      <c r="F55" t="s">
        <v>67</v>
      </c>
      <c r="G55" s="4">
        <v>8.9907692307692297</v>
      </c>
    </row>
    <row r="56" spans="1:7" x14ac:dyDescent="0.25">
      <c r="A56">
        <v>310</v>
      </c>
      <c r="B56" t="s">
        <v>304</v>
      </c>
      <c r="C56" t="s">
        <v>80</v>
      </c>
      <c r="D56" s="3" t="s">
        <v>97</v>
      </c>
      <c r="E56">
        <f>VLOOKUP(Tabela14[[#This Row],[ID_COD]],[1]!Tabela2[#Data],6,0)</f>
        <v>0</v>
      </c>
      <c r="F56" t="s">
        <v>67</v>
      </c>
      <c r="G56" s="4">
        <v>9.74</v>
      </c>
    </row>
    <row r="57" spans="1:7" x14ac:dyDescent="0.25">
      <c r="A57">
        <v>311</v>
      </c>
      <c r="B57" t="s">
        <v>304</v>
      </c>
      <c r="C57" t="s">
        <v>80</v>
      </c>
      <c r="D57" s="3" t="s">
        <v>99</v>
      </c>
      <c r="E57">
        <f>VLOOKUP(Tabela14[[#This Row],[ID_COD]],[1]!Tabela2[#Data],6,0)</f>
        <v>0</v>
      </c>
      <c r="F57" t="s">
        <v>125</v>
      </c>
      <c r="G57" s="4">
        <v>10.489230769230771</v>
      </c>
    </row>
    <row r="58" spans="1:7" x14ac:dyDescent="0.25">
      <c r="A58">
        <v>312</v>
      </c>
      <c r="B58" t="s">
        <v>304</v>
      </c>
      <c r="C58" t="s">
        <v>80</v>
      </c>
      <c r="D58" s="3" t="s">
        <v>101</v>
      </c>
      <c r="E58">
        <f>VLOOKUP(Tabela14[[#This Row],[ID_COD]],[1]!Tabela2[#Data],6,0)</f>
        <v>0</v>
      </c>
      <c r="F58" t="s">
        <v>126</v>
      </c>
      <c r="G58" s="4">
        <v>11.238461538461538</v>
      </c>
    </row>
    <row r="59" spans="1:7" x14ac:dyDescent="0.25">
      <c r="A59">
        <v>313</v>
      </c>
      <c r="B59" t="s">
        <v>304</v>
      </c>
      <c r="C59" t="s">
        <v>80</v>
      </c>
      <c r="D59" s="3" t="s">
        <v>102</v>
      </c>
      <c r="E59">
        <f>VLOOKUP(Tabela14[[#This Row],[ID_COD]],[1]!Tabela2[#Data],6,0)</f>
        <v>50</v>
      </c>
      <c r="F59" t="s">
        <v>67</v>
      </c>
      <c r="G59" s="4">
        <v>11.98</v>
      </c>
    </row>
    <row r="60" spans="1:7" x14ac:dyDescent="0.25">
      <c r="A60">
        <v>314</v>
      </c>
      <c r="B60" t="s">
        <v>304</v>
      </c>
      <c r="C60" t="s">
        <v>80</v>
      </c>
      <c r="D60" s="3" t="s">
        <v>39</v>
      </c>
      <c r="E60">
        <f>VLOOKUP(Tabela14[[#This Row],[ID_COD]],[1]!Tabela2[#Data],6,0)</f>
        <v>50</v>
      </c>
      <c r="F60" t="s">
        <v>127</v>
      </c>
      <c r="G60" s="4">
        <v>12.736923076923077</v>
      </c>
    </row>
    <row r="61" spans="1:7" x14ac:dyDescent="0.25">
      <c r="A61">
        <v>315</v>
      </c>
      <c r="B61" t="s">
        <v>304</v>
      </c>
      <c r="C61" t="s">
        <v>80</v>
      </c>
      <c r="D61" s="3" t="s">
        <v>105</v>
      </c>
      <c r="E61">
        <f>VLOOKUP(Tabela14[[#This Row],[ID_COD]],[1]!Tabela2[#Data],6,0)</f>
        <v>0</v>
      </c>
      <c r="F61" t="s">
        <v>67</v>
      </c>
      <c r="G61" s="4">
        <v>13.486153846153847</v>
      </c>
    </row>
    <row r="62" spans="1:7" x14ac:dyDescent="0.25">
      <c r="A62">
        <v>316</v>
      </c>
      <c r="B62" t="s">
        <v>304</v>
      </c>
      <c r="C62" t="s">
        <v>80</v>
      </c>
      <c r="D62" s="3" t="s">
        <v>107</v>
      </c>
      <c r="E62">
        <f>VLOOKUP(Tabela14[[#This Row],[ID_COD]],[1]!Tabela2[#Data],6,0)</f>
        <v>0</v>
      </c>
      <c r="F62" t="s">
        <v>128</v>
      </c>
      <c r="G62" s="4">
        <v>14.235384615384616</v>
      </c>
    </row>
    <row r="63" spans="1:7" x14ac:dyDescent="0.25">
      <c r="A63">
        <v>317</v>
      </c>
      <c r="B63" t="s">
        <v>304</v>
      </c>
      <c r="C63" t="s">
        <v>80</v>
      </c>
      <c r="D63" s="3" t="s">
        <v>109</v>
      </c>
      <c r="E63">
        <f>VLOOKUP(Tabela14[[#This Row],[ID_COD]],[1]!Tabela2[#Data],6,0)</f>
        <v>0</v>
      </c>
      <c r="F63" t="s">
        <v>67</v>
      </c>
      <c r="G63" s="4">
        <v>14.984615384615385</v>
      </c>
    </row>
    <row r="64" spans="1:7" x14ac:dyDescent="0.25">
      <c r="A64">
        <v>318</v>
      </c>
      <c r="B64" t="s">
        <v>304</v>
      </c>
      <c r="C64" t="s">
        <v>80</v>
      </c>
      <c r="D64" s="3" t="s">
        <v>111</v>
      </c>
      <c r="E64">
        <f>VLOOKUP(Tabela14[[#This Row],[ID_COD]],[1]!Tabela2[#Data],6,0)</f>
        <v>0</v>
      </c>
      <c r="F64" t="s">
        <v>67</v>
      </c>
      <c r="G64" s="4">
        <v>15.733846153846155</v>
      </c>
    </row>
    <row r="65" spans="1:7" x14ac:dyDescent="0.25">
      <c r="A65">
        <v>319</v>
      </c>
      <c r="B65" t="s">
        <v>304</v>
      </c>
      <c r="C65" t="s">
        <v>80</v>
      </c>
      <c r="D65" s="3" t="s">
        <v>112</v>
      </c>
      <c r="E65">
        <f>VLOOKUP(Tabela14[[#This Row],[ID_COD]],[1]!Tabela2[#Data],6,0)</f>
        <v>40</v>
      </c>
      <c r="F65" t="s">
        <v>129</v>
      </c>
      <c r="G65" s="4">
        <v>16.483076923076926</v>
      </c>
    </row>
    <row r="66" spans="1:7" x14ac:dyDescent="0.25">
      <c r="A66">
        <v>320</v>
      </c>
      <c r="B66" t="s">
        <v>304</v>
      </c>
      <c r="C66" t="s">
        <v>80</v>
      </c>
      <c r="D66" s="3" t="s">
        <v>114</v>
      </c>
      <c r="E66">
        <f>VLOOKUP(Tabela14[[#This Row],[ID_COD]],[1]!Tabela2[#Data],6,0)</f>
        <v>32</v>
      </c>
      <c r="F66" t="s">
        <v>130</v>
      </c>
      <c r="G66" s="4">
        <v>17.232307692307696</v>
      </c>
    </row>
    <row r="67" spans="1:7" x14ac:dyDescent="0.25">
      <c r="A67">
        <v>1690</v>
      </c>
      <c r="B67" t="s">
        <v>304</v>
      </c>
      <c r="C67" t="s">
        <v>80</v>
      </c>
      <c r="D67" s="3" t="s">
        <v>117</v>
      </c>
      <c r="E67">
        <f>VLOOKUP(Tabela14[[#This Row],[ID_COD]],[1]!Tabela2[#Data],6,0)</f>
        <v>0</v>
      </c>
      <c r="F67" t="s">
        <v>131</v>
      </c>
      <c r="G67" s="4">
        <v>18.73076923076923</v>
      </c>
    </row>
    <row r="68" spans="1:7" x14ac:dyDescent="0.25">
      <c r="A68">
        <v>339</v>
      </c>
      <c r="B68" t="s">
        <v>304</v>
      </c>
      <c r="C68" t="s">
        <v>82</v>
      </c>
      <c r="D68" s="3" t="s">
        <v>115</v>
      </c>
      <c r="E68">
        <f>VLOOKUP(Tabela14[[#This Row],[ID_COD]],[1]!Tabela2[#Data],6,0)</f>
        <v>32</v>
      </c>
      <c r="F68" t="s">
        <v>68</v>
      </c>
      <c r="G68" s="4">
        <v>16.579999999999998</v>
      </c>
    </row>
    <row r="69" spans="1:7" x14ac:dyDescent="0.25">
      <c r="A69">
        <v>63</v>
      </c>
      <c r="B69" t="s">
        <v>304</v>
      </c>
      <c r="C69" t="s">
        <v>82</v>
      </c>
      <c r="D69" s="3" t="s">
        <v>117</v>
      </c>
      <c r="E69">
        <f>VLOOKUP(Tabela14[[#This Row],[ID_COD]],[1]!Tabela2[#Data],6,0)</f>
        <v>32</v>
      </c>
      <c r="F69" t="s">
        <v>132</v>
      </c>
      <c r="G69" s="4">
        <v>17.270833333333332</v>
      </c>
    </row>
    <row r="70" spans="1:7" x14ac:dyDescent="0.25">
      <c r="A70">
        <v>340</v>
      </c>
      <c r="B70" t="s">
        <v>304</v>
      </c>
      <c r="C70" t="s">
        <v>82</v>
      </c>
      <c r="D70" s="3" t="s">
        <v>118</v>
      </c>
      <c r="E70">
        <f>VLOOKUP(Tabela14[[#This Row],[ID_COD]],[1]!Tabela2[#Data],6,0)</f>
        <v>0</v>
      </c>
      <c r="F70" t="s">
        <v>133</v>
      </c>
      <c r="G70" s="4">
        <v>17.961666666666662</v>
      </c>
    </row>
    <row r="71" spans="1:7" x14ac:dyDescent="0.25">
      <c r="A71">
        <v>341</v>
      </c>
      <c r="B71" t="s">
        <v>304</v>
      </c>
      <c r="C71" t="s">
        <v>82</v>
      </c>
      <c r="D71" s="3" t="s">
        <v>119</v>
      </c>
      <c r="E71">
        <f>VLOOKUP(Tabela14[[#This Row],[ID_COD]],[1]!Tabela2[#Data],6,0)</f>
        <v>0</v>
      </c>
      <c r="F71" t="s">
        <v>134</v>
      </c>
      <c r="G71" s="4">
        <v>18.652499999999996</v>
      </c>
    </row>
    <row r="72" spans="1:7" x14ac:dyDescent="0.25">
      <c r="A72">
        <v>342</v>
      </c>
      <c r="B72" t="s">
        <v>304</v>
      </c>
      <c r="C72" t="s">
        <v>82</v>
      </c>
      <c r="D72" s="3" t="s">
        <v>120</v>
      </c>
      <c r="E72">
        <f>VLOOKUP(Tabela14[[#This Row],[ID_COD]],[1]!Tabela2[#Data],6,0)</f>
        <v>0</v>
      </c>
      <c r="F72" t="s">
        <v>135</v>
      </c>
      <c r="G72" s="4">
        <v>19.34333333333333</v>
      </c>
    </row>
    <row r="73" spans="1:7" x14ac:dyDescent="0.25">
      <c r="A73">
        <v>343</v>
      </c>
      <c r="B73" t="s">
        <v>304</v>
      </c>
      <c r="C73" t="s">
        <v>82</v>
      </c>
      <c r="D73" s="3" t="s">
        <v>121</v>
      </c>
      <c r="E73">
        <f>VLOOKUP(Tabela14[[#This Row],[ID_COD]],[1]!Tabela2[#Data],6,0)</f>
        <v>0</v>
      </c>
      <c r="F73" t="s">
        <v>67</v>
      </c>
      <c r="G73" s="4">
        <v>20.034166666666668</v>
      </c>
    </row>
    <row r="74" spans="1:7" x14ac:dyDescent="0.25">
      <c r="A74">
        <v>344</v>
      </c>
      <c r="B74" t="s">
        <v>304</v>
      </c>
      <c r="C74" t="s">
        <v>82</v>
      </c>
      <c r="D74" s="3" t="s">
        <v>51</v>
      </c>
      <c r="E74">
        <f>VLOOKUP(Tabela14[[#This Row],[ID_COD]],[1]!Tabela2[#Data],6,0)</f>
        <v>0</v>
      </c>
      <c r="F74" t="s">
        <v>136</v>
      </c>
      <c r="G74" s="4">
        <v>20.724999999999998</v>
      </c>
    </row>
    <row r="75" spans="1:7" x14ac:dyDescent="0.25">
      <c r="A75">
        <v>345</v>
      </c>
      <c r="B75" t="s">
        <v>304</v>
      </c>
      <c r="C75" t="s">
        <v>82</v>
      </c>
      <c r="D75" s="3" t="s">
        <v>122</v>
      </c>
      <c r="E75">
        <f>VLOOKUP(Tabela14[[#This Row],[ID_COD]],[1]!Tabela2[#Data],6,0)</f>
        <v>0</v>
      </c>
      <c r="F75" t="s">
        <v>137</v>
      </c>
      <c r="G75" s="4">
        <v>21.415833333333332</v>
      </c>
    </row>
    <row r="76" spans="1:7" x14ac:dyDescent="0.25">
      <c r="A76">
        <v>346</v>
      </c>
      <c r="B76" t="s">
        <v>304</v>
      </c>
      <c r="C76" t="s">
        <v>82</v>
      </c>
      <c r="D76" s="3" t="s">
        <v>123</v>
      </c>
      <c r="E76">
        <f>VLOOKUP(Tabela14[[#This Row],[ID_COD]],[1]!Tabela2[#Data],6,0)</f>
        <v>0</v>
      </c>
      <c r="F76" t="s">
        <v>138</v>
      </c>
      <c r="G76" s="4">
        <v>22.106666666666666</v>
      </c>
    </row>
    <row r="77" spans="1:7" x14ac:dyDescent="0.25">
      <c r="A77">
        <v>347</v>
      </c>
      <c r="B77" t="s">
        <v>304</v>
      </c>
      <c r="C77" t="s">
        <v>82</v>
      </c>
      <c r="D77" s="3" t="s">
        <v>139</v>
      </c>
      <c r="E77">
        <f>VLOOKUP(Tabela14[[#This Row],[ID_COD]],[1]!Tabela2[#Data],6,0)</f>
        <v>0</v>
      </c>
      <c r="F77" t="s">
        <v>128</v>
      </c>
      <c r="G77" s="4">
        <v>22.797499999999999</v>
      </c>
    </row>
    <row r="78" spans="1:7" x14ac:dyDescent="0.25">
      <c r="A78">
        <v>348</v>
      </c>
      <c r="B78" t="s">
        <v>304</v>
      </c>
      <c r="C78" t="s">
        <v>82</v>
      </c>
      <c r="D78" s="3" t="s">
        <v>140</v>
      </c>
      <c r="E78">
        <f>VLOOKUP(Tabela14[[#This Row],[ID_COD]],[1]!Tabela2[#Data],6,0)</f>
        <v>0</v>
      </c>
      <c r="F78" t="s">
        <v>141</v>
      </c>
      <c r="G78" s="4">
        <v>23.488333333333333</v>
      </c>
    </row>
    <row r="79" spans="1:7" x14ac:dyDescent="0.25">
      <c r="A79">
        <v>1700</v>
      </c>
      <c r="B79" t="s">
        <v>305</v>
      </c>
      <c r="C79" t="s">
        <v>84</v>
      </c>
      <c r="D79" s="3" t="s">
        <v>115</v>
      </c>
      <c r="E79">
        <f>VLOOKUP(Tabela14[[#This Row],[ID_COD]],[1]!Tabela2[#Data],6,0)</f>
        <v>0</v>
      </c>
      <c r="F79" t="s">
        <v>68</v>
      </c>
      <c r="G79" s="4">
        <v>28.77</v>
      </c>
    </row>
    <row r="80" spans="1:7" x14ac:dyDescent="0.25">
      <c r="A80">
        <v>1697</v>
      </c>
      <c r="B80" t="s">
        <v>305</v>
      </c>
      <c r="C80" t="s">
        <v>84</v>
      </c>
      <c r="D80" s="3" t="s">
        <v>117</v>
      </c>
      <c r="E80">
        <f>VLOOKUP(Tabela14[[#This Row],[ID_COD]],[1]!Tabela2[#Data],6,0)</f>
        <v>0</v>
      </c>
      <c r="F80" t="s">
        <v>67</v>
      </c>
      <c r="G80" s="4">
        <v>29.96875</v>
      </c>
    </row>
    <row r="81" spans="1:7" x14ac:dyDescent="0.25">
      <c r="A81">
        <v>321</v>
      </c>
      <c r="B81" t="s">
        <v>306</v>
      </c>
      <c r="C81" t="s">
        <v>80</v>
      </c>
      <c r="D81" s="3" t="s">
        <v>124</v>
      </c>
      <c r="E81">
        <f>VLOOKUP(Tabela14[[#This Row],[ID_COD]],[1]!Tabela2[#Data],6,0)</f>
        <v>72</v>
      </c>
      <c r="F81" t="s">
        <v>69</v>
      </c>
      <c r="G81" s="4">
        <v>7.9</v>
      </c>
    </row>
    <row r="82" spans="1:7" x14ac:dyDescent="0.25">
      <c r="A82">
        <v>322</v>
      </c>
      <c r="B82" t="s">
        <v>306</v>
      </c>
      <c r="C82" t="s">
        <v>80</v>
      </c>
      <c r="D82" s="3" t="s">
        <v>93</v>
      </c>
      <c r="E82">
        <f>VLOOKUP(Tabela14[[#This Row],[ID_COD]],[1]!Tabela2[#Data],6,0)</f>
        <v>72</v>
      </c>
      <c r="F82" t="s">
        <v>69</v>
      </c>
      <c r="G82" s="4">
        <v>8.69</v>
      </c>
    </row>
    <row r="83" spans="1:7" x14ac:dyDescent="0.25">
      <c r="A83">
        <v>323</v>
      </c>
      <c r="B83" t="s">
        <v>306</v>
      </c>
      <c r="C83" t="s">
        <v>80</v>
      </c>
      <c r="D83" s="3" t="s">
        <v>95</v>
      </c>
      <c r="E83">
        <f>VLOOKUP(Tabela14[[#This Row],[ID_COD]],[1]!Tabela2[#Data],6,0)</f>
        <v>60</v>
      </c>
      <c r="F83" t="s">
        <v>69</v>
      </c>
      <c r="G83" s="4">
        <v>9.48</v>
      </c>
    </row>
    <row r="84" spans="1:7" x14ac:dyDescent="0.25">
      <c r="A84">
        <v>324</v>
      </c>
      <c r="B84" t="s">
        <v>306</v>
      </c>
      <c r="C84" t="s">
        <v>80</v>
      </c>
      <c r="D84" s="3" t="s">
        <v>97</v>
      </c>
      <c r="E84">
        <f>VLOOKUP(Tabela14[[#This Row],[ID_COD]],[1]!Tabela2[#Data],6,0)</f>
        <v>60</v>
      </c>
      <c r="F84" t="s">
        <v>69</v>
      </c>
      <c r="G84" s="4">
        <v>10.27</v>
      </c>
    </row>
    <row r="85" spans="1:7" x14ac:dyDescent="0.25">
      <c r="A85">
        <v>325</v>
      </c>
      <c r="B85" t="s">
        <v>306</v>
      </c>
      <c r="C85" t="s">
        <v>80</v>
      </c>
      <c r="D85" s="3" t="s">
        <v>99</v>
      </c>
      <c r="E85">
        <f>VLOOKUP(Tabela14[[#This Row],[ID_COD]],[1]!Tabela2[#Data],6,0)</f>
        <v>0</v>
      </c>
      <c r="F85" t="s">
        <v>69</v>
      </c>
      <c r="G85" s="4">
        <v>11.06</v>
      </c>
    </row>
    <row r="86" spans="1:7" x14ac:dyDescent="0.25">
      <c r="A86">
        <v>326</v>
      </c>
      <c r="B86" t="s">
        <v>306</v>
      </c>
      <c r="C86" t="s">
        <v>80</v>
      </c>
      <c r="D86" s="3" t="s">
        <v>101</v>
      </c>
      <c r="E86">
        <f>VLOOKUP(Tabela14[[#This Row],[ID_COD]],[1]!Tabela2[#Data],6,0)</f>
        <v>50</v>
      </c>
      <c r="F86" t="s">
        <v>69</v>
      </c>
      <c r="G86" s="4">
        <v>11.85</v>
      </c>
    </row>
    <row r="87" spans="1:7" x14ac:dyDescent="0.25">
      <c r="A87">
        <v>327</v>
      </c>
      <c r="B87" t="s">
        <v>306</v>
      </c>
      <c r="C87" t="s">
        <v>80</v>
      </c>
      <c r="D87" s="3" t="s">
        <v>102</v>
      </c>
      <c r="E87">
        <f>VLOOKUP(Tabela14[[#This Row],[ID_COD]],[1]!Tabela2[#Data],6,0)</f>
        <v>50</v>
      </c>
      <c r="F87" t="s">
        <v>69</v>
      </c>
      <c r="G87" s="4">
        <v>12.64</v>
      </c>
    </row>
    <row r="88" spans="1:7" x14ac:dyDescent="0.25">
      <c r="A88">
        <v>328</v>
      </c>
      <c r="B88" t="s">
        <v>306</v>
      </c>
      <c r="C88" t="s">
        <v>80</v>
      </c>
      <c r="D88" s="3" t="s">
        <v>39</v>
      </c>
      <c r="E88">
        <f>VLOOKUP(Tabela14[[#This Row],[ID_COD]],[1]!Tabela2[#Data],6,0)</f>
        <v>50</v>
      </c>
      <c r="F88" t="s">
        <v>142</v>
      </c>
      <c r="G88" s="4">
        <v>13.43</v>
      </c>
    </row>
    <row r="89" spans="1:7" x14ac:dyDescent="0.25">
      <c r="A89">
        <v>329</v>
      </c>
      <c r="B89" t="s">
        <v>306</v>
      </c>
      <c r="C89" t="s">
        <v>80</v>
      </c>
      <c r="D89" s="3" t="s">
        <v>105</v>
      </c>
      <c r="E89">
        <f>VLOOKUP(Tabela14[[#This Row],[ID_COD]],[1]!Tabela2[#Data],6,0)</f>
        <v>50</v>
      </c>
      <c r="F89" t="s">
        <v>72</v>
      </c>
      <c r="G89" s="4">
        <v>14.22</v>
      </c>
    </row>
    <row r="90" spans="1:7" x14ac:dyDescent="0.25">
      <c r="A90">
        <v>330</v>
      </c>
      <c r="B90" t="s">
        <v>306</v>
      </c>
      <c r="C90" t="s">
        <v>80</v>
      </c>
      <c r="D90" s="3" t="s">
        <v>107</v>
      </c>
      <c r="E90">
        <f>VLOOKUP(Tabela14[[#This Row],[ID_COD]],[1]!Tabela2[#Data],6,0)</f>
        <v>90</v>
      </c>
      <c r="F90" t="s">
        <v>143</v>
      </c>
      <c r="G90" s="4">
        <v>15.01</v>
      </c>
    </row>
    <row r="91" spans="1:7" x14ac:dyDescent="0.25">
      <c r="A91">
        <v>331</v>
      </c>
      <c r="B91" t="s">
        <v>306</v>
      </c>
      <c r="C91" t="s">
        <v>80</v>
      </c>
      <c r="D91" s="3" t="s">
        <v>109</v>
      </c>
      <c r="E91">
        <f>VLOOKUP(Tabela14[[#This Row],[ID_COD]],[1]!Tabela2[#Data],6,0)</f>
        <v>0</v>
      </c>
      <c r="F91" t="s">
        <v>144</v>
      </c>
      <c r="G91" s="4">
        <v>15.8</v>
      </c>
    </row>
    <row r="92" spans="1:7" x14ac:dyDescent="0.25">
      <c r="A92">
        <v>332</v>
      </c>
      <c r="B92" t="s">
        <v>306</v>
      </c>
      <c r="C92" t="s">
        <v>80</v>
      </c>
      <c r="D92" s="3" t="s">
        <v>111</v>
      </c>
      <c r="E92">
        <f>VLOOKUP(Tabela14[[#This Row],[ID_COD]],[1]!Tabela2[#Data],6,0)</f>
        <v>0</v>
      </c>
      <c r="F92" t="s">
        <v>145</v>
      </c>
      <c r="G92" s="4">
        <v>16.59</v>
      </c>
    </row>
    <row r="93" spans="1:7" x14ac:dyDescent="0.25">
      <c r="A93">
        <v>333</v>
      </c>
      <c r="B93" t="s">
        <v>306</v>
      </c>
      <c r="C93" t="s">
        <v>80</v>
      </c>
      <c r="D93" s="3" t="s">
        <v>112</v>
      </c>
      <c r="E93">
        <f>VLOOKUP(Tabela14[[#This Row],[ID_COD]],[1]!Tabela2[#Data],6,0)</f>
        <v>50</v>
      </c>
      <c r="F93" t="s">
        <v>146</v>
      </c>
      <c r="G93" s="4">
        <v>17.38</v>
      </c>
    </row>
    <row r="94" spans="1:7" x14ac:dyDescent="0.25">
      <c r="A94">
        <v>334</v>
      </c>
      <c r="B94" t="s">
        <v>306</v>
      </c>
      <c r="C94" t="s">
        <v>80</v>
      </c>
      <c r="D94" s="3" t="s">
        <v>114</v>
      </c>
      <c r="E94">
        <f>VLOOKUP(Tabela14[[#This Row],[ID_COD]],[1]!Tabela2[#Data],6,0)</f>
        <v>0</v>
      </c>
      <c r="F94" t="s">
        <v>69</v>
      </c>
      <c r="G94" s="4">
        <v>18.170000000000002</v>
      </c>
    </row>
    <row r="95" spans="1:7" x14ac:dyDescent="0.25">
      <c r="A95">
        <v>335</v>
      </c>
      <c r="B95" t="s">
        <v>306</v>
      </c>
      <c r="C95" t="s">
        <v>80</v>
      </c>
      <c r="D95" s="3" t="s">
        <v>115</v>
      </c>
      <c r="E95">
        <f>VLOOKUP(Tabela14[[#This Row],[ID_COD]],[1]!Tabela2[#Data],6,0)</f>
        <v>40</v>
      </c>
      <c r="F95" t="s">
        <v>147</v>
      </c>
      <c r="G95" s="4">
        <v>18.96</v>
      </c>
    </row>
    <row r="96" spans="1:7" x14ac:dyDescent="0.25">
      <c r="A96">
        <v>336</v>
      </c>
      <c r="B96" t="s">
        <v>306</v>
      </c>
      <c r="C96" t="s">
        <v>80</v>
      </c>
      <c r="D96" s="3" t="s">
        <v>117</v>
      </c>
      <c r="E96">
        <f>VLOOKUP(Tabela14[[#This Row],[ID_COD]],[1]!Tabela2[#Data],6,0)</f>
        <v>40</v>
      </c>
      <c r="F96" t="s">
        <v>69</v>
      </c>
      <c r="G96" s="4">
        <v>19.75</v>
      </c>
    </row>
    <row r="97" spans="1:7" x14ac:dyDescent="0.25">
      <c r="A97">
        <v>337</v>
      </c>
      <c r="B97" t="s">
        <v>306</v>
      </c>
      <c r="C97" t="s">
        <v>80</v>
      </c>
      <c r="D97" s="3" t="s">
        <v>118</v>
      </c>
      <c r="E97">
        <f>VLOOKUP(Tabela14[[#This Row],[ID_COD]],[1]!Tabela2[#Data],6,0)</f>
        <v>32</v>
      </c>
      <c r="F97" t="s">
        <v>69</v>
      </c>
      <c r="G97" s="4">
        <v>20.54</v>
      </c>
    </row>
    <row r="98" spans="1:7" x14ac:dyDescent="0.25">
      <c r="A98">
        <v>1699</v>
      </c>
      <c r="B98" t="s">
        <v>306</v>
      </c>
      <c r="C98" t="s">
        <v>82</v>
      </c>
      <c r="D98" s="3" t="s">
        <v>107</v>
      </c>
      <c r="E98">
        <f>VLOOKUP(Tabela14[[#This Row],[ID_COD]],[1]!Tabela2[#Data],6,0)</f>
        <v>0</v>
      </c>
      <c r="F98" t="s">
        <v>69</v>
      </c>
      <c r="G98" s="4">
        <v>13.525185185185185</v>
      </c>
    </row>
    <row r="99" spans="1:7" x14ac:dyDescent="0.25">
      <c r="A99">
        <v>1773</v>
      </c>
      <c r="B99" t="s">
        <v>306</v>
      </c>
      <c r="C99" t="s">
        <v>82</v>
      </c>
      <c r="D99" s="3" t="s">
        <v>111</v>
      </c>
      <c r="E99">
        <f>VLOOKUP(Tabela14[[#This Row],[ID_COD]],[1]!Tabela2[#Data],6,0)</f>
        <v>40</v>
      </c>
      <c r="F99" t="s">
        <v>148</v>
      </c>
      <c r="G99" s="4">
        <v>14.948888888888888</v>
      </c>
    </row>
    <row r="100" spans="1:7" x14ac:dyDescent="0.25">
      <c r="A100">
        <v>349</v>
      </c>
      <c r="B100" t="s">
        <v>306</v>
      </c>
      <c r="C100" t="s">
        <v>82</v>
      </c>
      <c r="D100" s="3" t="s">
        <v>119</v>
      </c>
      <c r="E100">
        <f>VLOOKUP(Tabela14[[#This Row],[ID_COD]],[1]!Tabela2[#Data],6,0)</f>
        <v>32</v>
      </c>
      <c r="F100" t="s">
        <v>70</v>
      </c>
      <c r="G100" s="4">
        <v>19.22</v>
      </c>
    </row>
    <row r="101" spans="1:7" x14ac:dyDescent="0.25">
      <c r="A101">
        <v>350</v>
      </c>
      <c r="B101" t="s">
        <v>306</v>
      </c>
      <c r="C101" t="s">
        <v>82</v>
      </c>
      <c r="D101" s="3" t="s">
        <v>120</v>
      </c>
      <c r="E101">
        <f>VLOOKUP(Tabela14[[#This Row],[ID_COD]],[1]!Tabela2[#Data],6,0)</f>
        <v>0</v>
      </c>
      <c r="F101" t="s">
        <v>69</v>
      </c>
      <c r="G101" s="4">
        <v>19.931851851851849</v>
      </c>
    </row>
    <row r="102" spans="1:7" x14ac:dyDescent="0.25">
      <c r="A102">
        <v>351</v>
      </c>
      <c r="B102" t="s">
        <v>306</v>
      </c>
      <c r="C102" t="s">
        <v>82</v>
      </c>
      <c r="D102" s="3" t="s">
        <v>121</v>
      </c>
      <c r="E102">
        <f>VLOOKUP(Tabela14[[#This Row],[ID_COD]],[1]!Tabela2[#Data],6,0)</f>
        <v>0</v>
      </c>
      <c r="F102" t="s">
        <v>149</v>
      </c>
      <c r="G102" s="4">
        <v>20.6437037037037</v>
      </c>
    </row>
    <row r="103" spans="1:7" x14ac:dyDescent="0.25">
      <c r="A103">
        <v>352</v>
      </c>
      <c r="B103" t="s">
        <v>306</v>
      </c>
      <c r="C103" t="s">
        <v>82</v>
      </c>
      <c r="D103" s="3" t="s">
        <v>51</v>
      </c>
      <c r="E103">
        <f>VLOOKUP(Tabela14[[#This Row],[ID_COD]],[1]!Tabela2[#Data],6,0)</f>
        <v>0</v>
      </c>
      <c r="F103" t="s">
        <v>150</v>
      </c>
      <c r="G103" s="4">
        <v>21.355555555555554</v>
      </c>
    </row>
    <row r="104" spans="1:7" x14ac:dyDescent="0.25">
      <c r="A104">
        <v>353</v>
      </c>
      <c r="B104" t="s">
        <v>306</v>
      </c>
      <c r="C104" t="s">
        <v>82</v>
      </c>
      <c r="D104" s="3" t="s">
        <v>122</v>
      </c>
      <c r="E104">
        <f>VLOOKUP(Tabela14[[#This Row],[ID_COD]],[1]!Tabela2[#Data],6,0)</f>
        <v>0</v>
      </c>
      <c r="F104" t="s">
        <v>151</v>
      </c>
      <c r="G104" s="4">
        <v>22.067407407407408</v>
      </c>
    </row>
    <row r="105" spans="1:7" x14ac:dyDescent="0.25">
      <c r="A105">
        <v>354</v>
      </c>
      <c r="B105" t="s">
        <v>306</v>
      </c>
      <c r="C105" t="s">
        <v>82</v>
      </c>
      <c r="D105" s="3" t="s">
        <v>123</v>
      </c>
      <c r="E105">
        <f>VLOOKUP(Tabela14[[#This Row],[ID_COD]],[1]!Tabela2[#Data],6,0)</f>
        <v>0</v>
      </c>
      <c r="F105" t="s">
        <v>152</v>
      </c>
      <c r="G105" s="4">
        <v>22.779259259259259</v>
      </c>
    </row>
    <row r="106" spans="1:7" x14ac:dyDescent="0.25">
      <c r="A106">
        <v>355</v>
      </c>
      <c r="B106" t="s">
        <v>306</v>
      </c>
      <c r="C106" t="s">
        <v>82</v>
      </c>
      <c r="D106" s="3" t="s">
        <v>139</v>
      </c>
      <c r="E106">
        <f>VLOOKUP(Tabela14[[#This Row],[ID_COD]],[1]!Tabela2[#Data],6,0)</f>
        <v>0</v>
      </c>
      <c r="F106" t="s">
        <v>153</v>
      </c>
      <c r="G106" s="4">
        <v>23.49111111111111</v>
      </c>
    </row>
    <row r="107" spans="1:7" x14ac:dyDescent="0.25">
      <c r="A107">
        <v>356</v>
      </c>
      <c r="B107" t="s">
        <v>306</v>
      </c>
      <c r="C107" t="s">
        <v>82</v>
      </c>
      <c r="D107" s="3" t="s">
        <v>140</v>
      </c>
      <c r="E107">
        <f>VLOOKUP(Tabela14[[#This Row],[ID_COD]],[1]!Tabela2[#Data],6,0)</f>
        <v>0</v>
      </c>
      <c r="F107" t="s">
        <v>142</v>
      </c>
      <c r="G107" s="4">
        <v>24.20296296296296</v>
      </c>
    </row>
    <row r="108" spans="1:7" x14ac:dyDescent="0.25">
      <c r="A108">
        <v>73</v>
      </c>
      <c r="B108" t="s">
        <v>306</v>
      </c>
      <c r="C108" t="s">
        <v>84</v>
      </c>
      <c r="D108" s="3" t="s">
        <v>119</v>
      </c>
      <c r="E108">
        <f>VLOOKUP(Tabela14[[#This Row],[ID_COD]],[1]!Tabela2[#Data],6,0)</f>
        <v>32</v>
      </c>
      <c r="F108" t="s">
        <v>71</v>
      </c>
      <c r="G108" s="4">
        <v>30.77</v>
      </c>
    </row>
    <row r="109" spans="1:7" x14ac:dyDescent="0.25">
      <c r="A109">
        <v>74</v>
      </c>
      <c r="B109" t="s">
        <v>306</v>
      </c>
      <c r="C109" t="s">
        <v>84</v>
      </c>
      <c r="D109" s="3" t="s">
        <v>120</v>
      </c>
      <c r="E109">
        <f>VLOOKUP(Tabela14[[#This Row],[ID_COD]],[1]!Tabela2[#Data],6,0)</f>
        <v>0</v>
      </c>
      <c r="F109" t="s">
        <v>154</v>
      </c>
      <c r="G109" s="4">
        <v>31.909629629629631</v>
      </c>
    </row>
    <row r="110" spans="1:7" x14ac:dyDescent="0.25">
      <c r="A110">
        <v>75</v>
      </c>
      <c r="B110" t="s">
        <v>306</v>
      </c>
      <c r="C110" t="s">
        <v>84</v>
      </c>
      <c r="D110" s="3" t="s">
        <v>121</v>
      </c>
      <c r="E110">
        <f>VLOOKUP(Tabela14[[#This Row],[ID_COD]],[1]!Tabela2[#Data],6,0)</f>
        <v>32</v>
      </c>
      <c r="F110" t="s">
        <v>149</v>
      </c>
      <c r="G110" s="4">
        <v>33.049259259259259</v>
      </c>
    </row>
    <row r="111" spans="1:7" x14ac:dyDescent="0.25">
      <c r="A111">
        <v>76</v>
      </c>
      <c r="B111" t="s">
        <v>306</v>
      </c>
      <c r="C111" t="s">
        <v>84</v>
      </c>
      <c r="D111" s="3" t="s">
        <v>51</v>
      </c>
      <c r="E111">
        <f>VLOOKUP(Tabela14[[#This Row],[ID_COD]],[1]!Tabela2[#Data],6,0)</f>
        <v>0</v>
      </c>
      <c r="F111" t="s">
        <v>155</v>
      </c>
      <c r="G111" s="4">
        <v>34.18888888888889</v>
      </c>
    </row>
    <row r="112" spans="1:7" x14ac:dyDescent="0.25">
      <c r="A112">
        <v>77</v>
      </c>
      <c r="B112" t="s">
        <v>306</v>
      </c>
      <c r="C112" t="s">
        <v>84</v>
      </c>
      <c r="D112" s="3" t="s">
        <v>122</v>
      </c>
      <c r="E112">
        <f>VLOOKUP(Tabela14[[#This Row],[ID_COD]],[1]!Tabela2[#Data],6,0)</f>
        <v>0</v>
      </c>
      <c r="F112" t="s">
        <v>151</v>
      </c>
      <c r="G112" s="4">
        <v>35.328518518518521</v>
      </c>
    </row>
    <row r="113" spans="1:7" x14ac:dyDescent="0.25">
      <c r="A113">
        <v>78</v>
      </c>
      <c r="B113" t="s">
        <v>306</v>
      </c>
      <c r="C113" t="s">
        <v>84</v>
      </c>
      <c r="D113" s="3" t="s">
        <v>123</v>
      </c>
      <c r="E113">
        <f>VLOOKUP(Tabela14[[#This Row],[ID_COD]],[1]!Tabela2[#Data],6,0)</f>
        <v>0</v>
      </c>
      <c r="F113" t="s">
        <v>156</v>
      </c>
      <c r="G113" s="4">
        <v>36.468148148148146</v>
      </c>
    </row>
    <row r="114" spans="1:7" x14ac:dyDescent="0.25">
      <c r="A114">
        <v>79</v>
      </c>
      <c r="B114" t="s">
        <v>306</v>
      </c>
      <c r="C114" t="s">
        <v>84</v>
      </c>
      <c r="D114" s="3" t="s">
        <v>139</v>
      </c>
      <c r="E114">
        <f>VLOOKUP(Tabela14[[#This Row],[ID_COD]],[1]!Tabela2[#Data],6,0)</f>
        <v>0</v>
      </c>
      <c r="F114" t="s">
        <v>153</v>
      </c>
      <c r="G114" s="4">
        <v>37.607777777777777</v>
      </c>
    </row>
    <row r="115" spans="1:7" x14ac:dyDescent="0.25">
      <c r="A115">
        <v>80</v>
      </c>
      <c r="B115" t="s">
        <v>306</v>
      </c>
      <c r="C115" t="s">
        <v>84</v>
      </c>
      <c r="D115" s="3" t="s">
        <v>140</v>
      </c>
      <c r="E115">
        <f>VLOOKUP(Tabela14[[#This Row],[ID_COD]],[1]!Tabela2[#Data],6,0)</f>
        <v>0</v>
      </c>
      <c r="F115" t="s">
        <v>142</v>
      </c>
      <c r="G115" s="4">
        <v>38.747407407407408</v>
      </c>
    </row>
    <row r="116" spans="1:7" x14ac:dyDescent="0.25">
      <c r="A116">
        <v>81</v>
      </c>
      <c r="B116" t="s">
        <v>307</v>
      </c>
      <c r="C116" t="s">
        <v>80</v>
      </c>
      <c r="D116" s="3" t="s">
        <v>39</v>
      </c>
      <c r="E116">
        <f>VLOOKUP(Tabela14[[#This Row],[ID_COD]],[1]!Tabela2[#Data],6,0)</f>
        <v>0</v>
      </c>
      <c r="F116" t="s">
        <v>48</v>
      </c>
      <c r="G116" s="4">
        <v>12.499047619047618</v>
      </c>
    </row>
    <row r="117" spans="1:7" x14ac:dyDescent="0.25">
      <c r="A117">
        <v>82</v>
      </c>
      <c r="B117" t="s">
        <v>307</v>
      </c>
      <c r="C117" t="s">
        <v>80</v>
      </c>
      <c r="D117" s="3" t="s">
        <v>105</v>
      </c>
      <c r="E117">
        <f>VLOOKUP(Tabela14[[#This Row],[ID_COD]],[1]!Tabela2[#Data],6,0)</f>
        <v>33</v>
      </c>
      <c r="F117" t="s">
        <v>48</v>
      </c>
      <c r="G117" s="4">
        <v>13.234285714285713</v>
      </c>
    </row>
    <row r="118" spans="1:7" x14ac:dyDescent="0.25">
      <c r="A118">
        <v>83</v>
      </c>
      <c r="B118" t="s">
        <v>307</v>
      </c>
      <c r="C118" t="s">
        <v>80</v>
      </c>
      <c r="D118" s="3" t="s">
        <v>107</v>
      </c>
      <c r="E118">
        <f>VLOOKUP(Tabela14[[#This Row],[ID_COD]],[1]!Tabela2[#Data],6,0)</f>
        <v>0</v>
      </c>
      <c r="F118" t="s">
        <v>48</v>
      </c>
      <c r="G118" s="4">
        <v>13.969523809523809</v>
      </c>
    </row>
    <row r="119" spans="1:7" x14ac:dyDescent="0.25">
      <c r="A119">
        <v>84</v>
      </c>
      <c r="B119" t="s">
        <v>307</v>
      </c>
      <c r="C119" t="s">
        <v>80</v>
      </c>
      <c r="D119" s="3" t="s">
        <v>109</v>
      </c>
      <c r="E119">
        <f>VLOOKUP(Tabela14[[#This Row],[ID_COD]],[1]!Tabela2[#Data],6,0)</f>
        <v>36</v>
      </c>
      <c r="F119" t="s">
        <v>47</v>
      </c>
      <c r="G119" s="4">
        <v>14.704761904761904</v>
      </c>
    </row>
    <row r="120" spans="1:7" x14ac:dyDescent="0.25">
      <c r="A120">
        <v>85</v>
      </c>
      <c r="B120" t="s">
        <v>307</v>
      </c>
      <c r="C120" t="s">
        <v>80</v>
      </c>
      <c r="D120" s="3" t="s">
        <v>111</v>
      </c>
      <c r="E120">
        <f>VLOOKUP(Tabela14[[#This Row],[ID_COD]],[1]!Tabela2[#Data],6,0)</f>
        <v>36</v>
      </c>
      <c r="F120" t="s">
        <v>48</v>
      </c>
      <c r="G120" s="4">
        <v>15.440000000000001</v>
      </c>
    </row>
    <row r="121" spans="1:7" x14ac:dyDescent="0.25">
      <c r="A121">
        <v>86</v>
      </c>
      <c r="B121" t="s">
        <v>307</v>
      </c>
      <c r="C121" t="s">
        <v>80</v>
      </c>
      <c r="D121" s="3" t="s">
        <v>112</v>
      </c>
      <c r="E121">
        <f>VLOOKUP(Tabela14[[#This Row],[ID_COD]],[1]!Tabela2[#Data],6,0)</f>
        <v>30</v>
      </c>
      <c r="F121" t="s">
        <v>157</v>
      </c>
      <c r="G121" s="4">
        <v>16.175238095238093</v>
      </c>
    </row>
    <row r="122" spans="1:7" x14ac:dyDescent="0.25">
      <c r="A122">
        <v>87</v>
      </c>
      <c r="B122" t="s">
        <v>307</v>
      </c>
      <c r="C122" t="s">
        <v>80</v>
      </c>
      <c r="D122" s="3" t="s">
        <v>114</v>
      </c>
      <c r="E122">
        <f>VLOOKUP(Tabela14[[#This Row],[ID_COD]],[1]!Tabela2[#Data],6,0)</f>
        <v>0</v>
      </c>
      <c r="F122" t="s">
        <v>158</v>
      </c>
      <c r="G122" s="4">
        <v>16.910476190476189</v>
      </c>
    </row>
    <row r="123" spans="1:7" x14ac:dyDescent="0.25">
      <c r="A123">
        <v>88</v>
      </c>
      <c r="B123" t="s">
        <v>307</v>
      </c>
      <c r="C123" t="s">
        <v>80</v>
      </c>
      <c r="D123" s="3" t="s">
        <v>115</v>
      </c>
      <c r="E123">
        <f>VLOOKUP(Tabela14[[#This Row],[ID_COD]],[1]!Tabela2[#Data],6,0)</f>
        <v>30</v>
      </c>
      <c r="F123" t="s">
        <v>159</v>
      </c>
      <c r="G123" s="4">
        <v>17.645714285714284</v>
      </c>
    </row>
    <row r="124" spans="1:7" x14ac:dyDescent="0.25">
      <c r="A124">
        <v>89</v>
      </c>
      <c r="B124" t="s">
        <v>307</v>
      </c>
      <c r="C124" t="s">
        <v>80</v>
      </c>
      <c r="D124" s="3" t="s">
        <v>117</v>
      </c>
      <c r="E124">
        <f>VLOOKUP(Tabela14[[#This Row],[ID_COD]],[1]!Tabela2[#Data],6,0)</f>
        <v>30</v>
      </c>
      <c r="F124" t="s">
        <v>160</v>
      </c>
      <c r="G124" s="4">
        <v>18.38095238095238</v>
      </c>
    </row>
    <row r="125" spans="1:7" x14ac:dyDescent="0.25">
      <c r="A125">
        <v>90</v>
      </c>
      <c r="B125" t="s">
        <v>307</v>
      </c>
      <c r="C125" t="s">
        <v>80</v>
      </c>
      <c r="D125" s="3" t="s">
        <v>118</v>
      </c>
      <c r="E125">
        <f>VLOOKUP(Tabela14[[#This Row],[ID_COD]],[1]!Tabela2[#Data],6,0)</f>
        <v>0</v>
      </c>
      <c r="F125" t="s">
        <v>161</v>
      </c>
      <c r="G125" s="4">
        <v>19.116190476190475</v>
      </c>
    </row>
    <row r="126" spans="1:7" x14ac:dyDescent="0.25">
      <c r="A126">
        <v>91</v>
      </c>
      <c r="B126" t="s">
        <v>307</v>
      </c>
      <c r="C126" t="s">
        <v>80</v>
      </c>
      <c r="D126" s="3" t="s">
        <v>119</v>
      </c>
      <c r="E126">
        <f>VLOOKUP(Tabela14[[#This Row],[ID_COD]],[1]!Tabela2[#Data],6,0)</f>
        <v>0</v>
      </c>
      <c r="F126" t="s">
        <v>162</v>
      </c>
      <c r="G126" s="4">
        <v>19.851428571428571</v>
      </c>
    </row>
    <row r="127" spans="1:7" x14ac:dyDescent="0.25">
      <c r="A127">
        <v>92</v>
      </c>
      <c r="B127" t="s">
        <v>307</v>
      </c>
      <c r="C127" t="s">
        <v>80</v>
      </c>
      <c r="D127" s="3" t="s">
        <v>120</v>
      </c>
      <c r="E127">
        <f>VLOOKUP(Tabela14[[#This Row],[ID_COD]],[1]!Tabela2[#Data],6,0)</f>
        <v>0</v>
      </c>
      <c r="F127" t="s">
        <v>163</v>
      </c>
      <c r="G127" s="4">
        <v>20.586666666666666</v>
      </c>
    </row>
    <row r="128" spans="1:7" x14ac:dyDescent="0.25">
      <c r="A128">
        <v>93</v>
      </c>
      <c r="B128" t="s">
        <v>307</v>
      </c>
      <c r="C128" t="s">
        <v>80</v>
      </c>
      <c r="D128" s="3" t="s">
        <v>121</v>
      </c>
      <c r="E128">
        <f>VLOOKUP(Tabela14[[#This Row],[ID_COD]],[1]!Tabela2[#Data],6,0)</f>
        <v>0</v>
      </c>
      <c r="F128" t="s">
        <v>164</v>
      </c>
      <c r="G128" s="4">
        <v>21.321904761904758</v>
      </c>
    </row>
    <row r="129" spans="1:7" x14ac:dyDescent="0.25">
      <c r="A129">
        <v>94</v>
      </c>
      <c r="B129" t="s">
        <v>307</v>
      </c>
      <c r="C129" t="s">
        <v>80</v>
      </c>
      <c r="D129" s="3" t="s">
        <v>51</v>
      </c>
      <c r="E129">
        <f>VLOOKUP(Tabela14[[#This Row],[ID_COD]],[1]!Tabela2[#Data],6,0)</f>
        <v>25</v>
      </c>
      <c r="F129" t="s">
        <v>165</v>
      </c>
      <c r="G129" s="4">
        <v>22.057142857142857</v>
      </c>
    </row>
    <row r="130" spans="1:7" x14ac:dyDescent="0.25">
      <c r="A130">
        <v>95</v>
      </c>
      <c r="B130" t="s">
        <v>307</v>
      </c>
      <c r="C130" t="s">
        <v>80</v>
      </c>
      <c r="D130" s="3" t="s">
        <v>122</v>
      </c>
      <c r="E130">
        <f>VLOOKUP(Tabela14[[#This Row],[ID_COD]],[1]!Tabela2[#Data],6,0)</f>
        <v>0</v>
      </c>
      <c r="F130" t="s">
        <v>166</v>
      </c>
      <c r="G130" s="4">
        <v>22.792380952380952</v>
      </c>
    </row>
    <row r="131" spans="1:7" x14ac:dyDescent="0.25">
      <c r="A131">
        <v>96</v>
      </c>
      <c r="B131" t="s">
        <v>307</v>
      </c>
      <c r="C131" t="s">
        <v>80</v>
      </c>
      <c r="D131" s="3" t="s">
        <v>123</v>
      </c>
      <c r="E131">
        <f>VLOOKUP(Tabela14[[#This Row],[ID_COD]],[1]!Tabela2[#Data],6,0)</f>
        <v>20</v>
      </c>
      <c r="F131" t="s">
        <v>167</v>
      </c>
      <c r="G131" s="4">
        <v>23.527619047619048</v>
      </c>
    </row>
    <row r="132" spans="1:7" x14ac:dyDescent="0.25">
      <c r="A132">
        <v>97</v>
      </c>
      <c r="B132" t="s">
        <v>307</v>
      </c>
      <c r="C132" t="s">
        <v>80</v>
      </c>
      <c r="D132" s="3" t="s">
        <v>139</v>
      </c>
      <c r="E132">
        <f>VLOOKUP(Tabela14[[#This Row],[ID_COD]],[1]!Tabela2[#Data],6,0)</f>
        <v>0</v>
      </c>
      <c r="F132" t="s">
        <v>168</v>
      </c>
      <c r="G132" s="4">
        <v>24.262857142857143</v>
      </c>
    </row>
    <row r="133" spans="1:7" x14ac:dyDescent="0.25">
      <c r="A133">
        <v>129</v>
      </c>
      <c r="B133" t="s">
        <v>307</v>
      </c>
      <c r="C133" t="s">
        <v>82</v>
      </c>
      <c r="D133" s="3" t="s">
        <v>140</v>
      </c>
      <c r="E133">
        <f>VLOOKUP(Tabela14[[#This Row],[ID_COD]],[1]!Tabela2[#Data],6,0)</f>
        <v>20</v>
      </c>
      <c r="F133" t="s">
        <v>169</v>
      </c>
      <c r="G133" s="4">
        <v>27.264324324324328</v>
      </c>
    </row>
    <row r="134" spans="1:7" x14ac:dyDescent="0.25">
      <c r="A134">
        <v>130</v>
      </c>
      <c r="B134" t="s">
        <v>307</v>
      </c>
      <c r="C134" t="s">
        <v>82</v>
      </c>
      <c r="D134" s="3" t="s">
        <v>170</v>
      </c>
      <c r="E134">
        <f>VLOOKUP(Tabela14[[#This Row],[ID_COD]],[1]!Tabela2[#Data],6,0)</f>
        <v>0</v>
      </c>
      <c r="F134" t="s">
        <v>171</v>
      </c>
      <c r="G134" s="4">
        <v>28.066216216216215</v>
      </c>
    </row>
    <row r="135" spans="1:7" x14ac:dyDescent="0.25">
      <c r="A135">
        <v>131</v>
      </c>
      <c r="B135" t="s">
        <v>307</v>
      </c>
      <c r="C135" t="s">
        <v>82</v>
      </c>
      <c r="D135" s="3" t="s">
        <v>172</v>
      </c>
      <c r="E135">
        <f>VLOOKUP(Tabela14[[#This Row],[ID_COD]],[1]!Tabela2[#Data],6,0)</f>
        <v>0</v>
      </c>
      <c r="F135" t="s">
        <v>173</v>
      </c>
      <c r="G135" s="4">
        <v>28.86810810810811</v>
      </c>
    </row>
    <row r="136" spans="1:7" x14ac:dyDescent="0.25">
      <c r="A136">
        <v>132</v>
      </c>
      <c r="B136" t="s">
        <v>307</v>
      </c>
      <c r="C136" t="s">
        <v>82</v>
      </c>
      <c r="D136" s="3" t="s">
        <v>174</v>
      </c>
      <c r="E136">
        <f>VLOOKUP(Tabela14[[#This Row],[ID_COD]],[1]!Tabela2[#Data],6,0)</f>
        <v>20</v>
      </c>
      <c r="F136" t="s">
        <v>48</v>
      </c>
      <c r="G136" s="4">
        <v>29.670000000000005</v>
      </c>
    </row>
    <row r="137" spans="1:7" x14ac:dyDescent="0.25">
      <c r="A137">
        <v>133</v>
      </c>
      <c r="B137" t="s">
        <v>307</v>
      </c>
      <c r="C137" t="s">
        <v>82</v>
      </c>
      <c r="D137" s="3" t="s">
        <v>175</v>
      </c>
      <c r="E137">
        <f>VLOOKUP(Tabela14[[#This Row],[ID_COD]],[1]!Tabela2[#Data],6,0)</f>
        <v>0</v>
      </c>
      <c r="F137" t="s">
        <v>176</v>
      </c>
      <c r="G137" s="4">
        <v>30.471891891891893</v>
      </c>
    </row>
    <row r="138" spans="1:7" x14ac:dyDescent="0.25">
      <c r="A138">
        <v>134</v>
      </c>
      <c r="B138" t="s">
        <v>307</v>
      </c>
      <c r="C138" t="s">
        <v>82</v>
      </c>
      <c r="D138" s="3" t="s">
        <v>177</v>
      </c>
      <c r="E138">
        <f>VLOOKUP(Tabela14[[#This Row],[ID_COD]],[1]!Tabela2[#Data],6,0)</f>
        <v>0</v>
      </c>
      <c r="F138" t="s">
        <v>178</v>
      </c>
      <c r="G138" s="4">
        <v>31.273783783783788</v>
      </c>
    </row>
    <row r="139" spans="1:7" x14ac:dyDescent="0.25">
      <c r="A139">
        <v>135</v>
      </c>
      <c r="B139" t="s">
        <v>307</v>
      </c>
      <c r="C139" t="s">
        <v>82</v>
      </c>
      <c r="D139" s="3" t="s">
        <v>179</v>
      </c>
      <c r="E139">
        <f>VLOOKUP(Tabela14[[#This Row],[ID_COD]],[1]!Tabela2[#Data],6,0)</f>
        <v>0</v>
      </c>
      <c r="F139" t="s">
        <v>158</v>
      </c>
      <c r="G139" s="4">
        <v>32.075675675675676</v>
      </c>
    </row>
    <row r="140" spans="1:7" x14ac:dyDescent="0.25">
      <c r="A140">
        <v>136</v>
      </c>
      <c r="B140" t="s">
        <v>307</v>
      </c>
      <c r="C140" t="s">
        <v>82</v>
      </c>
      <c r="D140" s="3" t="s">
        <v>180</v>
      </c>
      <c r="E140">
        <f>VLOOKUP(Tabela14[[#This Row],[ID_COD]],[1]!Tabela2[#Data],6,0)</f>
        <v>0</v>
      </c>
      <c r="F140" t="s">
        <v>181</v>
      </c>
      <c r="G140" s="4">
        <v>32.877567567567567</v>
      </c>
    </row>
    <row r="141" spans="1:7" x14ac:dyDescent="0.25">
      <c r="A141">
        <v>1960</v>
      </c>
      <c r="B141" t="s">
        <v>307</v>
      </c>
      <c r="C141" t="s">
        <v>84</v>
      </c>
      <c r="D141" s="5">
        <v>1460</v>
      </c>
      <c r="E141">
        <v>7</v>
      </c>
      <c r="F141" t="s">
        <v>48</v>
      </c>
      <c r="G141" s="4">
        <v>94.88</v>
      </c>
    </row>
    <row r="142" spans="1:7" x14ac:dyDescent="0.25">
      <c r="A142">
        <v>1775</v>
      </c>
      <c r="B142" t="s">
        <v>307</v>
      </c>
      <c r="C142" t="s">
        <v>84</v>
      </c>
      <c r="D142" s="3" t="s">
        <v>179</v>
      </c>
      <c r="E142">
        <f>VLOOKUP(Tabela14[[#This Row],[ID_COD]],[1]!Tabela2[#Data],6,0)</f>
        <v>0</v>
      </c>
      <c r="F142" t="s">
        <v>182</v>
      </c>
      <c r="G142" s="4">
        <v>32.075675675675676</v>
      </c>
    </row>
    <row r="143" spans="1:7" x14ac:dyDescent="0.25">
      <c r="A143">
        <v>1776</v>
      </c>
      <c r="B143" t="s">
        <v>307</v>
      </c>
      <c r="C143" t="s">
        <v>84</v>
      </c>
      <c r="D143" s="3" t="s">
        <v>180</v>
      </c>
      <c r="E143">
        <f>VLOOKUP(Tabela14[[#This Row],[ID_COD]],[1]!Tabela2[#Data],6,0)</f>
        <v>0</v>
      </c>
      <c r="F143" t="s">
        <v>171</v>
      </c>
      <c r="G143" s="4">
        <v>32.877567567567567</v>
      </c>
    </row>
    <row r="144" spans="1:7" x14ac:dyDescent="0.25">
      <c r="A144">
        <v>1777</v>
      </c>
      <c r="B144" t="s">
        <v>307</v>
      </c>
      <c r="C144" t="s">
        <v>84</v>
      </c>
      <c r="D144" s="3" t="s">
        <v>26</v>
      </c>
      <c r="E144">
        <f>VLOOKUP(Tabela14[[#This Row],[ID_COD]],[1]!Tabela2[#Data],6,0)</f>
        <v>0</v>
      </c>
      <c r="F144" t="s">
        <v>173</v>
      </c>
      <c r="G144" s="4">
        <v>33.679459459459466</v>
      </c>
    </row>
    <row r="145" spans="1:7" x14ac:dyDescent="0.25">
      <c r="A145">
        <v>357</v>
      </c>
      <c r="B145" t="s">
        <v>308</v>
      </c>
      <c r="C145" t="s">
        <v>80</v>
      </c>
      <c r="D145" s="3" t="s">
        <v>111</v>
      </c>
      <c r="E145">
        <f>VLOOKUP(Tabela14[[#This Row],[ID_COD]],[1]!Tabela2[#Data],6,0)</f>
        <v>36</v>
      </c>
      <c r="F145" t="s">
        <v>49</v>
      </c>
      <c r="G145" s="4">
        <v>15.8424</v>
      </c>
    </row>
    <row r="146" spans="1:7" x14ac:dyDescent="0.25">
      <c r="A146">
        <v>358</v>
      </c>
      <c r="B146" t="s">
        <v>308</v>
      </c>
      <c r="C146" t="s">
        <v>80</v>
      </c>
      <c r="D146" s="3" t="s">
        <v>112</v>
      </c>
      <c r="E146">
        <f>VLOOKUP(Tabela14[[#This Row],[ID_COD]],[1]!Tabela2[#Data],6,0)</f>
        <v>0</v>
      </c>
      <c r="F146" t="s">
        <v>49</v>
      </c>
      <c r="G146" s="4">
        <v>16.596799999999998</v>
      </c>
    </row>
    <row r="147" spans="1:7" x14ac:dyDescent="0.25">
      <c r="A147">
        <v>261</v>
      </c>
      <c r="B147" t="s">
        <v>308</v>
      </c>
      <c r="C147" t="s">
        <v>80</v>
      </c>
      <c r="D147" s="3" t="s">
        <v>114</v>
      </c>
      <c r="E147">
        <f>VLOOKUP(Tabela14[[#This Row],[ID_COD]],[1]!Tabela2[#Data],6,0)</f>
        <v>0</v>
      </c>
      <c r="F147" t="s">
        <v>183</v>
      </c>
      <c r="G147" s="4">
        <v>17.351200000000002</v>
      </c>
    </row>
    <row r="148" spans="1:7" x14ac:dyDescent="0.25">
      <c r="A148">
        <v>262</v>
      </c>
      <c r="B148" t="s">
        <v>308</v>
      </c>
      <c r="C148" t="s">
        <v>80</v>
      </c>
      <c r="D148" s="3" t="s">
        <v>115</v>
      </c>
      <c r="E148">
        <f>VLOOKUP(Tabela14[[#This Row],[ID_COD]],[1]!Tabela2[#Data],6,0)</f>
        <v>0</v>
      </c>
      <c r="F148" t="s">
        <v>49</v>
      </c>
      <c r="G148" s="4">
        <v>18.105599999999999</v>
      </c>
    </row>
    <row r="149" spans="1:7" x14ac:dyDescent="0.25">
      <c r="A149">
        <v>263</v>
      </c>
      <c r="B149" t="s">
        <v>308</v>
      </c>
      <c r="C149" t="s">
        <v>80</v>
      </c>
      <c r="D149" s="3" t="s">
        <v>117</v>
      </c>
      <c r="E149">
        <f>VLOOKUP(Tabela14[[#This Row],[ID_COD]],[1]!Tabela2[#Data],6,0)</f>
        <v>30</v>
      </c>
      <c r="F149" t="s">
        <v>49</v>
      </c>
      <c r="G149" s="4">
        <v>18.86</v>
      </c>
    </row>
    <row r="150" spans="1:7" x14ac:dyDescent="0.25">
      <c r="A150">
        <v>264</v>
      </c>
      <c r="B150" t="s">
        <v>308</v>
      </c>
      <c r="C150" t="s">
        <v>80</v>
      </c>
      <c r="D150" s="3" t="s">
        <v>118</v>
      </c>
      <c r="E150">
        <f>VLOOKUP(Tabela14[[#This Row],[ID_COD]],[1]!Tabela2[#Data],6,0)</f>
        <v>20</v>
      </c>
      <c r="F150" t="s">
        <v>184</v>
      </c>
      <c r="G150" s="4">
        <v>19.614399999999996</v>
      </c>
    </row>
    <row r="151" spans="1:7" x14ac:dyDescent="0.25">
      <c r="A151">
        <v>265</v>
      </c>
      <c r="B151" t="s">
        <v>308</v>
      </c>
      <c r="C151" t="s">
        <v>80</v>
      </c>
      <c r="D151" s="3" t="s">
        <v>119</v>
      </c>
      <c r="E151">
        <f>VLOOKUP(Tabela14[[#This Row],[ID_COD]],[1]!Tabela2[#Data],6,0)</f>
        <v>0</v>
      </c>
      <c r="F151" t="s">
        <v>185</v>
      </c>
      <c r="G151" s="4">
        <v>20.3688</v>
      </c>
    </row>
    <row r="152" spans="1:7" x14ac:dyDescent="0.25">
      <c r="A152">
        <v>266</v>
      </c>
      <c r="B152" t="s">
        <v>308</v>
      </c>
      <c r="C152" t="s">
        <v>80</v>
      </c>
      <c r="D152" s="3" t="s">
        <v>120</v>
      </c>
      <c r="E152">
        <f>VLOOKUP(Tabela14[[#This Row],[ID_COD]],[1]!Tabela2[#Data],6,0)</f>
        <v>30</v>
      </c>
      <c r="F152" t="s">
        <v>49</v>
      </c>
      <c r="G152" s="4">
        <v>21.123200000000001</v>
      </c>
    </row>
    <row r="153" spans="1:7" x14ac:dyDescent="0.25">
      <c r="A153">
        <v>267</v>
      </c>
      <c r="B153" t="s">
        <v>308</v>
      </c>
      <c r="C153" t="s">
        <v>80</v>
      </c>
      <c r="D153" s="3" t="s">
        <v>121</v>
      </c>
      <c r="E153">
        <f>VLOOKUP(Tabela14[[#This Row],[ID_COD]],[1]!Tabela2[#Data],6,0)</f>
        <v>0</v>
      </c>
      <c r="F153" t="s">
        <v>186</v>
      </c>
      <c r="G153" s="4">
        <v>21.877599999999997</v>
      </c>
    </row>
    <row r="154" spans="1:7" x14ac:dyDescent="0.25">
      <c r="A154">
        <v>268</v>
      </c>
      <c r="B154" t="s">
        <v>308</v>
      </c>
      <c r="C154" t="s">
        <v>80</v>
      </c>
      <c r="D154" s="3" t="s">
        <v>51</v>
      </c>
      <c r="E154">
        <f>VLOOKUP(Tabela14[[#This Row],[ID_COD]],[1]!Tabela2[#Data],6,0)</f>
        <v>0</v>
      </c>
      <c r="F154" t="s">
        <v>187</v>
      </c>
      <c r="G154" s="4">
        <v>22.632000000000001</v>
      </c>
    </row>
    <row r="155" spans="1:7" x14ac:dyDescent="0.25">
      <c r="A155">
        <v>269</v>
      </c>
      <c r="B155" t="s">
        <v>308</v>
      </c>
      <c r="C155" t="s">
        <v>80</v>
      </c>
      <c r="D155" s="3" t="s">
        <v>122</v>
      </c>
      <c r="E155">
        <f>VLOOKUP(Tabela14[[#This Row],[ID_COD]],[1]!Tabela2[#Data],6,0)</f>
        <v>0</v>
      </c>
      <c r="F155" t="s">
        <v>188</v>
      </c>
      <c r="G155" s="4">
        <v>23.386399999999998</v>
      </c>
    </row>
    <row r="156" spans="1:7" x14ac:dyDescent="0.25">
      <c r="A156">
        <v>270</v>
      </c>
      <c r="B156" t="s">
        <v>308</v>
      </c>
      <c r="C156" t="s">
        <v>80</v>
      </c>
      <c r="D156" s="3" t="s">
        <v>189</v>
      </c>
      <c r="E156">
        <f>VLOOKUP(Tabela14[[#This Row],[ID_COD]],[1]!Tabela2[#Data],6,0)</f>
        <v>0</v>
      </c>
      <c r="F156" t="s">
        <v>190</v>
      </c>
      <c r="G156" s="4">
        <v>23.7636</v>
      </c>
    </row>
    <row r="157" spans="1:7" x14ac:dyDescent="0.25">
      <c r="A157">
        <v>271</v>
      </c>
      <c r="B157" t="s">
        <v>308</v>
      </c>
      <c r="C157" t="s">
        <v>80</v>
      </c>
      <c r="D157" s="3" t="s">
        <v>123</v>
      </c>
      <c r="E157">
        <f>VLOOKUP(Tabela14[[#This Row],[ID_COD]],[1]!Tabela2[#Data],6,0)</f>
        <v>0</v>
      </c>
      <c r="F157" t="s">
        <v>191</v>
      </c>
      <c r="G157" s="4">
        <v>24.140799999999999</v>
      </c>
    </row>
    <row r="158" spans="1:7" x14ac:dyDescent="0.25">
      <c r="A158">
        <v>272</v>
      </c>
      <c r="B158" t="s">
        <v>308</v>
      </c>
      <c r="C158" t="s">
        <v>80</v>
      </c>
      <c r="D158" s="3" t="s">
        <v>139</v>
      </c>
      <c r="E158">
        <f>VLOOKUP(Tabela14[[#This Row],[ID_COD]],[1]!Tabela2[#Data],6,0)</f>
        <v>0</v>
      </c>
      <c r="F158" t="s">
        <v>192</v>
      </c>
      <c r="G158" s="4">
        <v>24.895199999999999</v>
      </c>
    </row>
    <row r="159" spans="1:7" x14ac:dyDescent="0.25">
      <c r="A159">
        <v>1687</v>
      </c>
      <c r="B159" t="s">
        <v>308</v>
      </c>
      <c r="C159" t="s">
        <v>82</v>
      </c>
      <c r="D159" s="3" t="s">
        <v>115</v>
      </c>
      <c r="E159">
        <f>VLOOKUP(Tabela14[[#This Row],[ID_COD]],[1]!Tabela2[#Data],6,0)</f>
        <v>0</v>
      </c>
      <c r="F159" t="s">
        <v>49</v>
      </c>
      <c r="G159" s="4">
        <v>19.313684210526315</v>
      </c>
    </row>
    <row r="160" spans="1:7" x14ac:dyDescent="0.25">
      <c r="A160">
        <v>290</v>
      </c>
      <c r="B160" t="s">
        <v>308</v>
      </c>
      <c r="C160" t="s">
        <v>82</v>
      </c>
      <c r="D160" s="3" t="s">
        <v>140</v>
      </c>
      <c r="E160">
        <f>VLOOKUP(Tabela14[[#This Row],[ID_COD]],[1]!Tabela2[#Data],6,0)</f>
        <v>0</v>
      </c>
      <c r="F160" t="s">
        <v>193</v>
      </c>
      <c r="G160" s="4">
        <v>27.361052631578943</v>
      </c>
    </row>
    <row r="161" spans="1:7" x14ac:dyDescent="0.25">
      <c r="A161">
        <v>291</v>
      </c>
      <c r="B161" t="s">
        <v>308</v>
      </c>
      <c r="C161" t="s">
        <v>82</v>
      </c>
      <c r="D161" s="3" t="s">
        <v>170</v>
      </c>
      <c r="E161">
        <f>VLOOKUP(Tabela14[[#This Row],[ID_COD]],[1]!Tabela2[#Data],6,0)</f>
        <v>0</v>
      </c>
      <c r="F161" t="s">
        <v>194</v>
      </c>
      <c r="G161" s="4">
        <v>28.16578947368421</v>
      </c>
    </row>
    <row r="162" spans="1:7" x14ac:dyDescent="0.25">
      <c r="A162">
        <v>292</v>
      </c>
      <c r="B162" t="s">
        <v>308</v>
      </c>
      <c r="C162" t="s">
        <v>82</v>
      </c>
      <c r="D162" s="3" t="s">
        <v>172</v>
      </c>
      <c r="E162">
        <f>VLOOKUP(Tabela14[[#This Row],[ID_COD]],[1]!Tabela2[#Data],6,0)</f>
        <v>0</v>
      </c>
      <c r="F162" t="s">
        <v>195</v>
      </c>
      <c r="G162" s="4">
        <v>28.970526315789471</v>
      </c>
    </row>
    <row r="163" spans="1:7" x14ac:dyDescent="0.25">
      <c r="A163">
        <v>293</v>
      </c>
      <c r="B163" t="s">
        <v>308</v>
      </c>
      <c r="C163" t="s">
        <v>82</v>
      </c>
      <c r="D163" s="3" t="s">
        <v>174</v>
      </c>
      <c r="E163">
        <f>VLOOKUP(Tabela14[[#This Row],[ID_COD]],[1]!Tabela2[#Data],6,0)</f>
        <v>0</v>
      </c>
      <c r="F163" t="s">
        <v>196</v>
      </c>
      <c r="G163" s="4">
        <v>29.775263157894734</v>
      </c>
    </row>
    <row r="164" spans="1:7" x14ac:dyDescent="0.25">
      <c r="A164">
        <v>294</v>
      </c>
      <c r="B164" t="s">
        <v>308</v>
      </c>
      <c r="C164" t="s">
        <v>82</v>
      </c>
      <c r="D164" s="3" t="s">
        <v>175</v>
      </c>
      <c r="E164">
        <f>VLOOKUP(Tabela14[[#This Row],[ID_COD]],[1]!Tabela2[#Data],6,0)</f>
        <v>0</v>
      </c>
      <c r="F164" t="s">
        <v>49</v>
      </c>
      <c r="G164" s="4">
        <v>30.58</v>
      </c>
    </row>
    <row r="165" spans="1:7" x14ac:dyDescent="0.25">
      <c r="A165">
        <v>295</v>
      </c>
      <c r="B165" t="s">
        <v>308</v>
      </c>
      <c r="C165" t="s">
        <v>82</v>
      </c>
      <c r="D165" s="3" t="s">
        <v>177</v>
      </c>
      <c r="E165">
        <f>VLOOKUP(Tabela14[[#This Row],[ID_COD]],[1]!Tabela2[#Data],6,0)</f>
        <v>0</v>
      </c>
      <c r="F165" t="s">
        <v>197</v>
      </c>
      <c r="G165" s="4">
        <v>31.384736842105259</v>
      </c>
    </row>
    <row r="166" spans="1:7" x14ac:dyDescent="0.25">
      <c r="A166">
        <v>296</v>
      </c>
      <c r="B166" t="s">
        <v>308</v>
      </c>
      <c r="C166" t="s">
        <v>82</v>
      </c>
      <c r="D166" s="3" t="s">
        <v>179</v>
      </c>
      <c r="E166">
        <f>VLOOKUP(Tabela14[[#This Row],[ID_COD]],[1]!Tabela2[#Data],6,0)</f>
        <v>20</v>
      </c>
      <c r="F166" t="s">
        <v>198</v>
      </c>
      <c r="G166" s="4">
        <v>32.189473684210526</v>
      </c>
    </row>
    <row r="167" spans="1:7" x14ac:dyDescent="0.25">
      <c r="A167">
        <v>1961</v>
      </c>
      <c r="B167" t="s">
        <v>308</v>
      </c>
      <c r="C167" t="s">
        <v>199</v>
      </c>
      <c r="D167" s="5">
        <v>1530</v>
      </c>
      <c r="E167">
        <v>7</v>
      </c>
      <c r="F167" t="s">
        <v>49</v>
      </c>
      <c r="G167" s="4">
        <v>98.7</v>
      </c>
    </row>
    <row r="168" spans="1:7" x14ac:dyDescent="0.25">
      <c r="A168">
        <v>1778</v>
      </c>
      <c r="B168" t="s">
        <v>308</v>
      </c>
      <c r="C168" t="s">
        <v>84</v>
      </c>
      <c r="D168" s="3" t="s">
        <v>179</v>
      </c>
      <c r="E168">
        <f>VLOOKUP(Tabela14[[#This Row],[ID_COD]],[1]!Tabela2[#Data],6,0)</f>
        <v>0</v>
      </c>
      <c r="F168" t="s">
        <v>49</v>
      </c>
      <c r="G168" s="4" t="e">
        <v>#N/A</v>
      </c>
    </row>
    <row r="169" spans="1:7" x14ac:dyDescent="0.25">
      <c r="A169">
        <v>1779</v>
      </c>
      <c r="B169" t="s">
        <v>308</v>
      </c>
      <c r="C169" t="s">
        <v>84</v>
      </c>
      <c r="D169" s="3" t="s">
        <v>180</v>
      </c>
      <c r="E169">
        <f>VLOOKUP(Tabela14[[#This Row],[ID_COD]],[1]!Tabela2[#Data],6,0)</f>
        <v>0</v>
      </c>
      <c r="F169" t="s">
        <v>200</v>
      </c>
      <c r="G169" s="4" t="e">
        <v>#N/A</v>
      </c>
    </row>
    <row r="170" spans="1:7" x14ac:dyDescent="0.25">
      <c r="A170">
        <v>1780</v>
      </c>
      <c r="B170" t="s">
        <v>308</v>
      </c>
      <c r="C170" t="s">
        <v>84</v>
      </c>
      <c r="D170" s="3" t="s">
        <v>26</v>
      </c>
      <c r="E170">
        <f>VLOOKUP(Tabela14[[#This Row],[ID_COD]],[1]!Tabela2[#Data],6,0)</f>
        <v>0</v>
      </c>
      <c r="F170" t="s">
        <v>201</v>
      </c>
      <c r="G170" s="4" t="e">
        <v>#N/A</v>
      </c>
    </row>
    <row r="171" spans="1:7" x14ac:dyDescent="0.25">
      <c r="A171">
        <v>359</v>
      </c>
      <c r="B171" t="s">
        <v>309</v>
      </c>
      <c r="C171" t="s">
        <v>80</v>
      </c>
      <c r="D171" s="3" t="s">
        <v>109</v>
      </c>
      <c r="E171">
        <f>VLOOKUP(Tabela14[[#This Row],[ID_COD]],[1]!Tabela2[#Data],6,0)</f>
        <v>36</v>
      </c>
      <c r="F171" t="s">
        <v>50</v>
      </c>
      <c r="G171" s="4">
        <v>15.8</v>
      </c>
    </row>
    <row r="172" spans="1:7" x14ac:dyDescent="0.25">
      <c r="A172">
        <v>273</v>
      </c>
      <c r="B172" t="s">
        <v>309</v>
      </c>
      <c r="C172" t="s">
        <v>80</v>
      </c>
      <c r="D172" s="3" t="s">
        <v>111</v>
      </c>
      <c r="E172">
        <f>VLOOKUP(Tabela14[[#This Row],[ID_COD]],[1]!Tabela2[#Data],6,0)</f>
        <v>36</v>
      </c>
      <c r="F172" t="s">
        <v>202</v>
      </c>
      <c r="G172" s="4">
        <v>16.59</v>
      </c>
    </row>
    <row r="173" spans="1:7" x14ac:dyDescent="0.25">
      <c r="A173">
        <v>274</v>
      </c>
      <c r="B173" t="s">
        <v>309</v>
      </c>
      <c r="C173" t="s">
        <v>80</v>
      </c>
      <c r="D173" s="3" t="s">
        <v>112</v>
      </c>
      <c r="E173">
        <f>VLOOKUP(Tabela14[[#This Row],[ID_COD]],[1]!Tabela2[#Data],6,0)</f>
        <v>0</v>
      </c>
      <c r="F173" t="s">
        <v>203</v>
      </c>
      <c r="G173" s="4">
        <v>17.38</v>
      </c>
    </row>
    <row r="174" spans="1:7" x14ac:dyDescent="0.25">
      <c r="A174">
        <v>275</v>
      </c>
      <c r="B174" t="s">
        <v>309</v>
      </c>
      <c r="C174" t="s">
        <v>80</v>
      </c>
      <c r="D174" s="3" t="s">
        <v>114</v>
      </c>
      <c r="E174">
        <f>VLOOKUP(Tabela14[[#This Row],[ID_COD]],[1]!Tabela2[#Data],6,0)</f>
        <v>0</v>
      </c>
      <c r="F174" t="s">
        <v>203</v>
      </c>
      <c r="G174" s="4">
        <v>18.170000000000002</v>
      </c>
    </row>
    <row r="175" spans="1:7" x14ac:dyDescent="0.25">
      <c r="A175">
        <v>276</v>
      </c>
      <c r="B175" t="s">
        <v>309</v>
      </c>
      <c r="C175" t="s">
        <v>80</v>
      </c>
      <c r="D175" s="3" t="s">
        <v>115</v>
      </c>
      <c r="E175">
        <f>VLOOKUP(Tabela14[[#This Row],[ID_COD]],[1]!Tabela2[#Data],6,0)</f>
        <v>30</v>
      </c>
      <c r="F175" t="s">
        <v>50</v>
      </c>
      <c r="G175" s="4">
        <v>18.959999999999997</v>
      </c>
    </row>
    <row r="176" spans="1:7" x14ac:dyDescent="0.25">
      <c r="A176">
        <v>277</v>
      </c>
      <c r="B176" t="s">
        <v>309</v>
      </c>
      <c r="C176" t="s">
        <v>80</v>
      </c>
      <c r="D176" s="3" t="s">
        <v>117</v>
      </c>
      <c r="E176">
        <f>VLOOKUP(Tabela14[[#This Row],[ID_COD]],[1]!Tabela2[#Data],6,0)</f>
        <v>30</v>
      </c>
      <c r="F176" t="s">
        <v>53</v>
      </c>
      <c r="G176" s="4">
        <v>19.75</v>
      </c>
    </row>
    <row r="177" spans="1:7" x14ac:dyDescent="0.25">
      <c r="A177">
        <v>278</v>
      </c>
      <c r="B177" t="s">
        <v>309</v>
      </c>
      <c r="C177" t="s">
        <v>80</v>
      </c>
      <c r="D177" s="3" t="s">
        <v>118</v>
      </c>
      <c r="E177">
        <f>VLOOKUP(Tabela14[[#This Row],[ID_COD]],[1]!Tabela2[#Data],6,0)</f>
        <v>0</v>
      </c>
      <c r="F177" t="s">
        <v>204</v>
      </c>
      <c r="G177" s="4">
        <v>20.54</v>
      </c>
    </row>
    <row r="178" spans="1:7" x14ac:dyDescent="0.25">
      <c r="A178">
        <v>279</v>
      </c>
      <c r="B178" t="s">
        <v>309</v>
      </c>
      <c r="C178" t="s">
        <v>80</v>
      </c>
      <c r="D178" s="3" t="s">
        <v>119</v>
      </c>
      <c r="E178">
        <f>VLOOKUP(Tabela14[[#This Row],[ID_COD]],[1]!Tabela2[#Data],6,0)</f>
        <v>30</v>
      </c>
      <c r="F178" t="s">
        <v>54</v>
      </c>
      <c r="G178" s="4">
        <v>19.88</v>
      </c>
    </row>
    <row r="179" spans="1:7" x14ac:dyDescent="0.25">
      <c r="A179">
        <v>280</v>
      </c>
      <c r="B179" t="s">
        <v>309</v>
      </c>
      <c r="C179" t="s">
        <v>80</v>
      </c>
      <c r="D179" s="3" t="s">
        <v>120</v>
      </c>
      <c r="E179">
        <f>VLOOKUP(Tabela14[[#This Row],[ID_COD]],[1]!Tabela2[#Data],6,0)</f>
        <v>30</v>
      </c>
      <c r="F179" t="s">
        <v>205</v>
      </c>
      <c r="G179" s="4">
        <v>22.12</v>
      </c>
    </row>
    <row r="180" spans="1:7" x14ac:dyDescent="0.25">
      <c r="A180">
        <v>281</v>
      </c>
      <c r="B180" t="s">
        <v>309</v>
      </c>
      <c r="C180" t="s">
        <v>80</v>
      </c>
      <c r="D180" s="3" t="s">
        <v>121</v>
      </c>
      <c r="E180">
        <f>VLOOKUP(Tabela14[[#This Row],[ID_COD]],[1]!Tabela2[#Data],6,0)</f>
        <v>0</v>
      </c>
      <c r="F180" t="s">
        <v>203</v>
      </c>
      <c r="G180" s="4">
        <v>22.91</v>
      </c>
    </row>
    <row r="181" spans="1:7" x14ac:dyDescent="0.25">
      <c r="A181">
        <v>282</v>
      </c>
      <c r="B181" t="s">
        <v>309</v>
      </c>
      <c r="C181" t="s">
        <v>80</v>
      </c>
      <c r="D181" s="3" t="s">
        <v>51</v>
      </c>
      <c r="E181">
        <f>VLOOKUP(Tabela14[[#This Row],[ID_COD]],[1]!Tabela2[#Data],6,0)</f>
        <v>0</v>
      </c>
      <c r="F181" t="s">
        <v>55</v>
      </c>
      <c r="G181" s="4">
        <v>23.7</v>
      </c>
    </row>
    <row r="182" spans="1:7" x14ac:dyDescent="0.25">
      <c r="A182">
        <v>283</v>
      </c>
      <c r="B182" t="s">
        <v>309</v>
      </c>
      <c r="C182" t="s">
        <v>80</v>
      </c>
      <c r="D182" s="3" t="s">
        <v>122</v>
      </c>
      <c r="E182">
        <f>VLOOKUP(Tabela14[[#This Row],[ID_COD]],[1]!Tabela2[#Data],6,0)</f>
        <v>0</v>
      </c>
      <c r="F182" t="s">
        <v>206</v>
      </c>
      <c r="G182" s="4">
        <v>24.490000000000002</v>
      </c>
    </row>
    <row r="183" spans="1:7" x14ac:dyDescent="0.25">
      <c r="A183">
        <v>284</v>
      </c>
      <c r="B183" t="s">
        <v>309</v>
      </c>
      <c r="C183" t="s">
        <v>80</v>
      </c>
      <c r="D183" s="3" t="s">
        <v>123</v>
      </c>
      <c r="E183">
        <f>VLOOKUP(Tabela14[[#This Row],[ID_COD]],[1]!Tabela2[#Data],6,0)</f>
        <v>25</v>
      </c>
      <c r="F183" t="s">
        <v>207</v>
      </c>
      <c r="G183" s="4">
        <v>25.28</v>
      </c>
    </row>
    <row r="184" spans="1:7" x14ac:dyDescent="0.25">
      <c r="A184">
        <v>285</v>
      </c>
      <c r="B184" t="s">
        <v>309</v>
      </c>
      <c r="C184" t="s">
        <v>80</v>
      </c>
      <c r="D184" s="3" t="s">
        <v>139</v>
      </c>
      <c r="E184">
        <f>VLOOKUP(Tabela14[[#This Row],[ID_COD]],[1]!Tabela2[#Data],6,0)</f>
        <v>0</v>
      </c>
      <c r="F184" t="s">
        <v>208</v>
      </c>
      <c r="G184" s="4">
        <v>26.069999999999997</v>
      </c>
    </row>
    <row r="185" spans="1:7" x14ac:dyDescent="0.25">
      <c r="A185">
        <v>286</v>
      </c>
      <c r="B185" t="s">
        <v>309</v>
      </c>
      <c r="C185" t="s">
        <v>80</v>
      </c>
      <c r="D185" s="3" t="s">
        <v>140</v>
      </c>
      <c r="E185">
        <f>VLOOKUP(Tabela14[[#This Row],[ID_COD]],[1]!Tabela2[#Data],6,0)</f>
        <v>20</v>
      </c>
      <c r="F185" t="s">
        <v>56</v>
      </c>
      <c r="G185" s="6">
        <v>26.86</v>
      </c>
    </row>
    <row r="186" spans="1:7" x14ac:dyDescent="0.25">
      <c r="A186">
        <v>287</v>
      </c>
      <c r="B186" t="s">
        <v>309</v>
      </c>
      <c r="C186" t="s">
        <v>80</v>
      </c>
      <c r="D186" s="3" t="s">
        <v>170</v>
      </c>
      <c r="E186">
        <f>VLOOKUP(Tabela14[[#This Row],[ID_COD]],[1]!Tabela2[#Data],6,0)</f>
        <v>0</v>
      </c>
      <c r="F186" t="s">
        <v>203</v>
      </c>
      <c r="G186" s="4">
        <v>27.65</v>
      </c>
    </row>
    <row r="187" spans="1:7" x14ac:dyDescent="0.25">
      <c r="A187">
        <v>288</v>
      </c>
      <c r="B187" t="s">
        <v>309</v>
      </c>
      <c r="C187" t="s">
        <v>80</v>
      </c>
      <c r="D187" s="3" t="s">
        <v>172</v>
      </c>
      <c r="E187">
        <f>VLOOKUP(Tabela14[[#This Row],[ID_COD]],[1]!Tabela2[#Data],6,0)</f>
        <v>0</v>
      </c>
      <c r="F187" t="s">
        <v>209</v>
      </c>
      <c r="G187" s="4">
        <v>28.44</v>
      </c>
    </row>
    <row r="188" spans="1:7" x14ac:dyDescent="0.25">
      <c r="A188">
        <v>289</v>
      </c>
      <c r="B188" t="s">
        <v>309</v>
      </c>
      <c r="C188" t="s">
        <v>80</v>
      </c>
      <c r="D188" s="3" t="s">
        <v>174</v>
      </c>
      <c r="E188">
        <f>VLOOKUP(Tabela14[[#This Row],[ID_COD]],[1]!Tabela2[#Data],6,0)</f>
        <v>0</v>
      </c>
      <c r="F188" t="s">
        <v>210</v>
      </c>
      <c r="G188" s="4">
        <v>29.229999999999997</v>
      </c>
    </row>
    <row r="189" spans="1:7" x14ac:dyDescent="0.25">
      <c r="A189">
        <v>1636</v>
      </c>
      <c r="B189" t="s">
        <v>309</v>
      </c>
      <c r="C189" t="s">
        <v>82</v>
      </c>
      <c r="D189" s="3" t="s">
        <v>109</v>
      </c>
      <c r="E189">
        <f>VLOOKUP(Tabela14[[#This Row],[ID_COD]],[1]!Tabela2[#Data],6,0)</f>
        <v>0</v>
      </c>
      <c r="F189" t="s">
        <v>50</v>
      </c>
      <c r="G189" s="4">
        <v>16.068292682926828</v>
      </c>
    </row>
    <row r="190" spans="1:7" x14ac:dyDescent="0.25">
      <c r="A190">
        <v>1637</v>
      </c>
      <c r="B190" t="s">
        <v>309</v>
      </c>
      <c r="C190" t="s">
        <v>82</v>
      </c>
      <c r="D190" s="3" t="s">
        <v>114</v>
      </c>
      <c r="E190" t="e">
        <f>VLOOKUP(Tabela14[[#This Row],[ID_COD]],[1]!Tabela2[#Data],6,0)</f>
        <v>#N/A</v>
      </c>
      <c r="F190" t="s">
        <v>50</v>
      </c>
      <c r="G190" s="4">
        <v>18.478536585365852</v>
      </c>
    </row>
    <row r="191" spans="1:7" x14ac:dyDescent="0.25">
      <c r="A191">
        <v>297</v>
      </c>
      <c r="B191" t="s">
        <v>309</v>
      </c>
      <c r="C191" t="s">
        <v>82</v>
      </c>
      <c r="D191" s="3" t="s">
        <v>175</v>
      </c>
      <c r="E191">
        <f>VLOOKUP(Tabela14[[#This Row],[ID_COD]],[1]!Tabela2[#Data],6,0)</f>
        <v>0</v>
      </c>
      <c r="F191" t="s">
        <v>211</v>
      </c>
      <c r="G191" s="4">
        <v>30.529756097560973</v>
      </c>
    </row>
    <row r="192" spans="1:7" x14ac:dyDescent="0.25">
      <c r="A192">
        <v>298</v>
      </c>
      <c r="B192" t="s">
        <v>309</v>
      </c>
      <c r="C192" t="s">
        <v>82</v>
      </c>
      <c r="D192" s="3" t="s">
        <v>177</v>
      </c>
      <c r="E192">
        <f>VLOOKUP(Tabela14[[#This Row],[ID_COD]],[1]!Tabela2[#Data],6,0)</f>
        <v>0</v>
      </c>
      <c r="F192" t="s">
        <v>212</v>
      </c>
      <c r="G192" s="4">
        <v>31.333170731707312</v>
      </c>
    </row>
    <row r="193" spans="1:7" x14ac:dyDescent="0.25">
      <c r="A193">
        <v>299</v>
      </c>
      <c r="B193" t="s">
        <v>309</v>
      </c>
      <c r="C193" t="s">
        <v>82</v>
      </c>
      <c r="D193" s="3" t="s">
        <v>179</v>
      </c>
      <c r="E193">
        <f>VLOOKUP(Tabela14[[#This Row],[ID_COD]],[1]!Tabela2[#Data],6,0)</f>
        <v>0</v>
      </c>
      <c r="F193" t="s">
        <v>213</v>
      </c>
      <c r="G193" s="4">
        <v>32.136585365853655</v>
      </c>
    </row>
    <row r="194" spans="1:7" x14ac:dyDescent="0.25">
      <c r="A194">
        <v>300</v>
      </c>
      <c r="B194" t="s">
        <v>309</v>
      </c>
      <c r="C194" t="s">
        <v>82</v>
      </c>
      <c r="D194" s="3" t="s">
        <v>180</v>
      </c>
      <c r="E194">
        <f>VLOOKUP(Tabela14[[#This Row],[ID_COD]],[1]!Tabela2[#Data],6,0)</f>
        <v>20</v>
      </c>
      <c r="F194" t="s">
        <v>52</v>
      </c>
      <c r="G194" s="4">
        <v>32.94</v>
      </c>
    </row>
    <row r="195" spans="1:7" x14ac:dyDescent="0.25">
      <c r="A195">
        <v>301</v>
      </c>
      <c r="B195" t="s">
        <v>309</v>
      </c>
      <c r="C195" t="s">
        <v>82</v>
      </c>
      <c r="D195" s="3" t="s">
        <v>26</v>
      </c>
      <c r="E195">
        <f>VLOOKUP(Tabela14[[#This Row],[ID_COD]],[1]!Tabela2[#Data],6,0)</f>
        <v>0</v>
      </c>
      <c r="F195" t="s">
        <v>214</v>
      </c>
      <c r="G195" s="4">
        <v>33.74341463414634</v>
      </c>
    </row>
    <row r="196" spans="1:7" x14ac:dyDescent="0.25">
      <c r="A196">
        <v>302</v>
      </c>
      <c r="B196" t="s">
        <v>309</v>
      </c>
      <c r="C196" t="s">
        <v>82</v>
      </c>
      <c r="D196" s="3" t="s">
        <v>215</v>
      </c>
      <c r="E196">
        <f>VLOOKUP(Tabela14[[#This Row],[ID_COD]],[1]!Tabela2[#Data],6,0)</f>
        <v>0</v>
      </c>
      <c r="F196" t="s">
        <v>216</v>
      </c>
      <c r="G196" s="4">
        <v>34.546829268292683</v>
      </c>
    </row>
    <row r="197" spans="1:7" x14ac:dyDescent="0.25">
      <c r="A197">
        <v>303</v>
      </c>
      <c r="B197" t="s">
        <v>309</v>
      </c>
      <c r="C197" t="s">
        <v>82</v>
      </c>
      <c r="D197" s="3" t="s">
        <v>217</v>
      </c>
      <c r="E197">
        <f>VLOOKUP(Tabela14[[#This Row],[ID_COD]],[1]!Tabela2[#Data],6,0)</f>
        <v>0</v>
      </c>
      <c r="F197" t="s">
        <v>218</v>
      </c>
      <c r="G197" s="4">
        <v>35.350243902439018</v>
      </c>
    </row>
    <row r="198" spans="1:7" x14ac:dyDescent="0.25">
      <c r="A198">
        <v>304</v>
      </c>
      <c r="B198" t="s">
        <v>309</v>
      </c>
      <c r="C198" t="s">
        <v>82</v>
      </c>
      <c r="D198" s="3" t="s">
        <v>219</v>
      </c>
      <c r="E198">
        <f>VLOOKUP(Tabela14[[#This Row],[ID_COD]],[1]!Tabela2[#Data],6,0)</f>
        <v>0</v>
      </c>
      <c r="F198" t="s">
        <v>220</v>
      </c>
      <c r="G198" s="4">
        <v>36.153658536585361</v>
      </c>
    </row>
    <row r="199" spans="1:7" x14ac:dyDescent="0.25">
      <c r="A199">
        <v>1962</v>
      </c>
      <c r="B199" t="s">
        <v>309</v>
      </c>
      <c r="C199" t="s">
        <v>84</v>
      </c>
      <c r="D199" s="5">
        <v>1650</v>
      </c>
      <c r="E199">
        <v>7</v>
      </c>
      <c r="F199" t="s">
        <v>50</v>
      </c>
      <c r="G199" s="4">
        <v>107.44</v>
      </c>
    </row>
    <row r="200" spans="1:7" x14ac:dyDescent="0.25">
      <c r="A200">
        <v>1781</v>
      </c>
      <c r="B200" t="s">
        <v>309</v>
      </c>
      <c r="C200" t="s">
        <v>84</v>
      </c>
      <c r="D200" s="3" t="s">
        <v>179</v>
      </c>
      <c r="E200">
        <f>VLOOKUP(Tabela14[[#This Row],[ID_COD]],[1]!Tabela2[#Data],6,0)</f>
        <v>0</v>
      </c>
      <c r="F200" t="s">
        <v>50</v>
      </c>
      <c r="G200" s="4" t="e">
        <v>#N/A</v>
      </c>
    </row>
    <row r="201" spans="1:7" x14ac:dyDescent="0.25">
      <c r="A201">
        <v>1782</v>
      </c>
      <c r="B201" t="s">
        <v>309</v>
      </c>
      <c r="C201" t="s">
        <v>84</v>
      </c>
      <c r="D201" s="3" t="s">
        <v>180</v>
      </c>
      <c r="E201">
        <f>VLOOKUP(Tabela14[[#This Row],[ID_COD]],[1]!Tabela2[#Data],6,0)</f>
        <v>0</v>
      </c>
      <c r="F201" t="s">
        <v>221</v>
      </c>
      <c r="G201" s="4" t="e">
        <v>#N/A</v>
      </c>
    </row>
    <row r="202" spans="1:7" x14ac:dyDescent="0.25">
      <c r="A202">
        <v>1644</v>
      </c>
      <c r="B202" t="s">
        <v>320</v>
      </c>
      <c r="C202" t="s">
        <v>222</v>
      </c>
      <c r="D202" s="3" t="s">
        <v>81</v>
      </c>
      <c r="E202" t="e">
        <f>VLOOKUP(Tabela14[[#This Row],[ID_COD]],[1]!Tabela2[#Data],6,0)</f>
        <v>#N/A</v>
      </c>
      <c r="F202" t="s">
        <v>41</v>
      </c>
      <c r="G202" s="4">
        <v>3.66</v>
      </c>
    </row>
    <row r="203" spans="1:7" x14ac:dyDescent="0.25">
      <c r="A203">
        <v>1589</v>
      </c>
      <c r="B203" t="s">
        <v>321</v>
      </c>
      <c r="C203" t="s">
        <v>222</v>
      </c>
      <c r="D203" s="3" t="s">
        <v>81</v>
      </c>
      <c r="E203" t="e">
        <f>VLOOKUP(Tabela14[[#This Row],[ID_COD]],[1]!Tabela2[#Data],6,0)</f>
        <v>#N/A</v>
      </c>
      <c r="F203" t="s">
        <v>6</v>
      </c>
      <c r="G203" s="4">
        <v>3.97</v>
      </c>
    </row>
    <row r="204" spans="1:7" x14ac:dyDescent="0.25">
      <c r="A204">
        <v>1590</v>
      </c>
      <c r="B204" t="s">
        <v>322</v>
      </c>
      <c r="C204" t="s">
        <v>222</v>
      </c>
      <c r="D204" s="3" t="s">
        <v>81</v>
      </c>
      <c r="E204" t="e">
        <f>VLOOKUP(Tabela14[[#This Row],[ID_COD]],[1]!Tabela2[#Data],6,0)</f>
        <v>#N/A</v>
      </c>
      <c r="F204" t="s">
        <v>18</v>
      </c>
      <c r="G204" s="4">
        <v>4.91</v>
      </c>
    </row>
    <row r="205" spans="1:7" x14ac:dyDescent="0.25">
      <c r="A205">
        <v>1592</v>
      </c>
      <c r="B205" t="s">
        <v>323</v>
      </c>
      <c r="C205" t="s">
        <v>222</v>
      </c>
      <c r="D205" s="3" t="s">
        <v>81</v>
      </c>
      <c r="E205" t="e">
        <f>VLOOKUP(Tabela14[[#This Row],[ID_COD]],[1]!Tabela2[#Data],6,0)</f>
        <v>#N/A</v>
      </c>
      <c r="F205" t="s">
        <v>223</v>
      </c>
      <c r="G205" s="4">
        <v>5.63</v>
      </c>
    </row>
    <row r="206" spans="1:7" x14ac:dyDescent="0.25">
      <c r="A206">
        <v>1593</v>
      </c>
      <c r="B206" t="s">
        <v>324</v>
      </c>
      <c r="C206" t="s">
        <v>222</v>
      </c>
      <c r="D206" s="3" t="s">
        <v>81</v>
      </c>
      <c r="E206" t="e">
        <f>VLOOKUP(Tabela14[[#This Row],[ID_COD]],[1]!Tabela2[#Data],6,0)</f>
        <v>#N/A</v>
      </c>
      <c r="F206" t="s">
        <v>224</v>
      </c>
      <c r="G206" s="4">
        <v>7.25</v>
      </c>
    </row>
    <row r="207" spans="1:7" x14ac:dyDescent="0.25">
      <c r="B207" t="s">
        <v>325</v>
      </c>
      <c r="C207" t="s">
        <v>222</v>
      </c>
      <c r="D207" s="3" t="s">
        <v>81</v>
      </c>
      <c r="E207" t="e">
        <f>VLOOKUP(Tabela14[[#This Row],[ID_COD]],[1]!Tabela2[#Data],6,0)</f>
        <v>#N/A</v>
      </c>
      <c r="G207" s="4" t="e">
        <v>#N/A</v>
      </c>
    </row>
    <row r="208" spans="1:7" x14ac:dyDescent="0.25">
      <c r="A208">
        <v>1594</v>
      </c>
      <c r="B208" t="s">
        <v>326</v>
      </c>
      <c r="C208" t="s">
        <v>222</v>
      </c>
      <c r="D208" s="3" t="s">
        <v>81</v>
      </c>
      <c r="E208" t="e">
        <f>VLOOKUP(Tabela14[[#This Row],[ID_COD]],[1]!Tabela2[#Data],6,0)</f>
        <v>#N/A</v>
      </c>
      <c r="F208" t="s">
        <v>225</v>
      </c>
      <c r="G208" s="4">
        <v>10.74</v>
      </c>
    </row>
    <row r="209" spans="1:7" x14ac:dyDescent="0.25">
      <c r="B209" t="s">
        <v>327</v>
      </c>
      <c r="C209" t="s">
        <v>222</v>
      </c>
      <c r="D209" s="3" t="s">
        <v>81</v>
      </c>
      <c r="E209" t="e">
        <f>VLOOKUP(Tabela14[[#This Row],[ID_COD]],[1]!Tabela2[#Data],6,0)</f>
        <v>#N/A</v>
      </c>
      <c r="G209" s="4" t="e">
        <v>#N/A</v>
      </c>
    </row>
    <row r="210" spans="1:7" x14ac:dyDescent="0.25">
      <c r="A210">
        <v>1595</v>
      </c>
      <c r="B210" t="s">
        <v>328</v>
      </c>
      <c r="C210" t="s">
        <v>222</v>
      </c>
      <c r="D210" s="3" t="s">
        <v>81</v>
      </c>
      <c r="E210" t="e">
        <f>VLOOKUP(Tabela14[[#This Row],[ID_COD]],[1]!Tabela2[#Data],6,0)</f>
        <v>#N/A</v>
      </c>
      <c r="F210" t="s">
        <v>17</v>
      </c>
      <c r="G210" s="4">
        <v>5.38</v>
      </c>
    </row>
    <row r="211" spans="1:7" x14ac:dyDescent="0.25">
      <c r="A211">
        <v>1596</v>
      </c>
      <c r="B211" t="s">
        <v>329</v>
      </c>
      <c r="C211" t="s">
        <v>222</v>
      </c>
      <c r="D211" s="3" t="s">
        <v>81</v>
      </c>
      <c r="E211" t="e">
        <f>VLOOKUP(Tabela14[[#This Row],[ID_COD]],[1]!Tabela2[#Data],6,0)</f>
        <v>#N/A</v>
      </c>
      <c r="F211" t="s">
        <v>22</v>
      </c>
      <c r="G211" s="4">
        <v>6.78</v>
      </c>
    </row>
    <row r="212" spans="1:7" x14ac:dyDescent="0.25">
      <c r="A212">
        <v>1597</v>
      </c>
      <c r="B212" t="s">
        <v>330</v>
      </c>
      <c r="C212" t="s">
        <v>222</v>
      </c>
      <c r="D212" s="3" t="s">
        <v>81</v>
      </c>
      <c r="E212" t="e">
        <f>VLOOKUP(Tabela14[[#This Row],[ID_COD]],[1]!Tabela2[#Data],6,0)</f>
        <v>#N/A</v>
      </c>
      <c r="F212" t="s">
        <v>226</v>
      </c>
      <c r="G212" s="4">
        <v>7.94</v>
      </c>
    </row>
    <row r="213" spans="1:7" x14ac:dyDescent="0.25">
      <c r="A213">
        <v>1598</v>
      </c>
      <c r="B213" t="s">
        <v>331</v>
      </c>
      <c r="C213" t="s">
        <v>222</v>
      </c>
      <c r="D213" s="3" t="s">
        <v>81</v>
      </c>
      <c r="E213" t="e">
        <f>VLOOKUP(Tabela14[[#This Row],[ID_COD]],[1]!Tabela2[#Data],6,0)</f>
        <v>#N/A</v>
      </c>
      <c r="F213" t="s">
        <v>227</v>
      </c>
      <c r="G213" s="4">
        <v>10.3</v>
      </c>
    </row>
    <row r="214" spans="1:7" x14ac:dyDescent="0.25">
      <c r="B214" t="s">
        <v>332</v>
      </c>
      <c r="C214" t="s">
        <v>222</v>
      </c>
      <c r="D214" s="3" t="s">
        <v>81</v>
      </c>
      <c r="E214" t="e">
        <f>VLOOKUP(Tabela14[[#This Row],[ID_COD]],[1]!Tabela2[#Data],6,0)</f>
        <v>#N/A</v>
      </c>
      <c r="G214" s="4" t="e">
        <v>#N/A</v>
      </c>
    </row>
    <row r="215" spans="1:7" x14ac:dyDescent="0.25">
      <c r="A215">
        <v>1599</v>
      </c>
      <c r="B215" t="s">
        <v>333</v>
      </c>
      <c r="C215" t="s">
        <v>222</v>
      </c>
      <c r="D215" s="3" t="s">
        <v>81</v>
      </c>
      <c r="E215" t="e">
        <f>VLOOKUP(Tabela14[[#This Row],[ID_COD]],[1]!Tabela2[#Data],6,0)</f>
        <v>#N/A</v>
      </c>
      <c r="F215" t="s">
        <v>228</v>
      </c>
      <c r="G215" s="4">
        <v>14.74</v>
      </c>
    </row>
    <row r="216" spans="1:7" x14ac:dyDescent="0.25">
      <c r="B216" t="s">
        <v>334</v>
      </c>
      <c r="C216" t="s">
        <v>229</v>
      </c>
      <c r="D216" s="3" t="s">
        <v>81</v>
      </c>
      <c r="E216" t="e">
        <f>VLOOKUP(Tabela14[[#This Row],[ID_COD]],[1]!Tabela2[#Data],6,0)</f>
        <v>#N/A</v>
      </c>
      <c r="G216" s="4">
        <v>4.2699999999999996</v>
      </c>
    </row>
    <row r="217" spans="1:7" x14ac:dyDescent="0.25">
      <c r="A217">
        <v>1600</v>
      </c>
      <c r="B217" t="s">
        <v>335</v>
      </c>
      <c r="C217" t="s">
        <v>229</v>
      </c>
      <c r="D217" s="3" t="s">
        <v>81</v>
      </c>
      <c r="E217" t="e">
        <f>VLOOKUP(Tabela14[[#This Row],[ID_COD]],[1]!Tabela2[#Data],6,0)</f>
        <v>#N/A</v>
      </c>
      <c r="F217" t="s">
        <v>230</v>
      </c>
      <c r="G217" s="4">
        <v>4.6399999999999997</v>
      </c>
    </row>
    <row r="218" spans="1:7" x14ac:dyDescent="0.25">
      <c r="A218">
        <v>1601</v>
      </c>
      <c r="B218" t="s">
        <v>336</v>
      </c>
      <c r="C218" t="s">
        <v>229</v>
      </c>
      <c r="D218" s="3" t="s">
        <v>81</v>
      </c>
      <c r="E218" t="e">
        <f>VLOOKUP(Tabela14[[#This Row],[ID_COD]],[1]!Tabela2[#Data],6,0)</f>
        <v>#N/A</v>
      </c>
      <c r="F218" t="s">
        <v>231</v>
      </c>
      <c r="G218" s="4">
        <v>5.74</v>
      </c>
    </row>
    <row r="219" spans="1:7" x14ac:dyDescent="0.25">
      <c r="A219">
        <v>1602</v>
      </c>
      <c r="B219" t="s">
        <v>337</v>
      </c>
      <c r="C219" t="s">
        <v>229</v>
      </c>
      <c r="D219" s="3" t="s">
        <v>81</v>
      </c>
      <c r="E219" t="e">
        <f>VLOOKUP(Tabela14[[#This Row],[ID_COD]],[1]!Tabela2[#Data],6,0)</f>
        <v>#N/A</v>
      </c>
      <c r="F219" t="s">
        <v>232</v>
      </c>
      <c r="G219" s="4">
        <v>6.57</v>
      </c>
    </row>
    <row r="220" spans="1:7" x14ac:dyDescent="0.25">
      <c r="A220">
        <v>1603</v>
      </c>
      <c r="B220" t="s">
        <v>310</v>
      </c>
      <c r="C220" t="s">
        <v>229</v>
      </c>
      <c r="D220" s="3" t="s">
        <v>81</v>
      </c>
      <c r="E220" t="e">
        <f>VLOOKUP(Tabela14[[#This Row],[ID_COD]],[1]!Tabela2[#Data],6,0)</f>
        <v>#N/A</v>
      </c>
      <c r="F220" t="s">
        <v>233</v>
      </c>
      <c r="G220" s="4">
        <v>8.4499999999999993</v>
      </c>
    </row>
    <row r="221" spans="1:7" x14ac:dyDescent="0.25">
      <c r="B221" t="s">
        <v>311</v>
      </c>
      <c r="C221" t="s">
        <v>229</v>
      </c>
      <c r="D221" s="3" t="s">
        <v>81</v>
      </c>
      <c r="E221" t="e">
        <f>VLOOKUP(Tabela14[[#This Row],[ID_COD]],[1]!Tabela2[#Data],6,0)</f>
        <v>#N/A</v>
      </c>
      <c r="G221" s="4" t="e">
        <v>#N/A</v>
      </c>
    </row>
    <row r="222" spans="1:7" x14ac:dyDescent="0.25">
      <c r="A222">
        <v>1604</v>
      </c>
      <c r="B222" t="s">
        <v>312</v>
      </c>
      <c r="C222" t="s">
        <v>229</v>
      </c>
      <c r="D222" s="3" t="s">
        <v>81</v>
      </c>
      <c r="E222" t="e">
        <f>VLOOKUP(Tabela14[[#This Row],[ID_COD]],[1]!Tabela2[#Data],6,0)</f>
        <v>#N/A</v>
      </c>
      <c r="F222" t="s">
        <v>234</v>
      </c>
      <c r="G222" s="4">
        <v>12.58</v>
      </c>
    </row>
    <row r="223" spans="1:7" x14ac:dyDescent="0.25">
      <c r="B223" t="s">
        <v>313</v>
      </c>
      <c r="C223" t="s">
        <v>229</v>
      </c>
      <c r="D223" s="3" t="s">
        <v>81</v>
      </c>
      <c r="E223" t="e">
        <f>VLOOKUP(Tabela14[[#This Row],[ID_COD]],[1]!Tabela2[#Data],6,0)</f>
        <v>#N/A</v>
      </c>
      <c r="G223" s="4" t="e">
        <v>#N/A</v>
      </c>
    </row>
    <row r="224" spans="1:7" x14ac:dyDescent="0.25">
      <c r="A224">
        <v>1605</v>
      </c>
      <c r="B224" t="s">
        <v>314</v>
      </c>
      <c r="C224" t="s">
        <v>229</v>
      </c>
      <c r="D224" s="3" t="s">
        <v>81</v>
      </c>
      <c r="E224" t="e">
        <f>VLOOKUP(Tabela14[[#This Row],[ID_COD]],[1]!Tabela2[#Data],6,0)</f>
        <v>#N/A</v>
      </c>
      <c r="F224" t="s">
        <v>235</v>
      </c>
      <c r="G224" s="4">
        <v>6.41</v>
      </c>
    </row>
    <row r="225" spans="1:7" x14ac:dyDescent="0.25">
      <c r="A225">
        <v>1606</v>
      </c>
      <c r="B225" t="s">
        <v>315</v>
      </c>
      <c r="C225" t="s">
        <v>229</v>
      </c>
      <c r="D225" s="3" t="s">
        <v>81</v>
      </c>
      <c r="E225" t="e">
        <f>VLOOKUP(Tabela14[[#This Row],[ID_COD]],[1]!Tabela2[#Data],6,0)</f>
        <v>#N/A</v>
      </c>
      <c r="F225" t="s">
        <v>236</v>
      </c>
      <c r="G225" s="4">
        <v>7.92</v>
      </c>
    </row>
    <row r="226" spans="1:7" x14ac:dyDescent="0.25">
      <c r="A226">
        <v>1608</v>
      </c>
      <c r="B226" t="s">
        <v>316</v>
      </c>
      <c r="C226" t="s">
        <v>229</v>
      </c>
      <c r="D226" s="3" t="s">
        <v>81</v>
      </c>
      <c r="E226" t="e">
        <f>VLOOKUP(Tabela14[[#This Row],[ID_COD]],[1]!Tabela2[#Data],6,0)</f>
        <v>#N/A</v>
      </c>
      <c r="F226" t="s">
        <v>237</v>
      </c>
      <c r="G226" s="4">
        <v>9.3699999999999992</v>
      </c>
    </row>
    <row r="227" spans="1:7" x14ac:dyDescent="0.25">
      <c r="A227">
        <v>1609</v>
      </c>
      <c r="B227" t="s">
        <v>317</v>
      </c>
      <c r="C227" t="s">
        <v>229</v>
      </c>
      <c r="D227" s="3" t="s">
        <v>81</v>
      </c>
      <c r="E227" t="e">
        <f>VLOOKUP(Tabela14[[#This Row],[ID_COD]],[1]!Tabela2[#Data],6,0)</f>
        <v>#N/A</v>
      </c>
      <c r="F227" t="s">
        <v>238</v>
      </c>
      <c r="G227" s="4">
        <v>12.03</v>
      </c>
    </row>
    <row r="228" spans="1:7" x14ac:dyDescent="0.25">
      <c r="B228" t="s">
        <v>318</v>
      </c>
      <c r="C228" t="s">
        <v>229</v>
      </c>
      <c r="D228" s="3" t="s">
        <v>81</v>
      </c>
      <c r="E228" t="e">
        <f>VLOOKUP(Tabela14[[#This Row],[ID_COD]],[1]!Tabela2[#Data],6,0)</f>
        <v>#N/A</v>
      </c>
      <c r="G228" s="4" t="e">
        <v>#N/A</v>
      </c>
    </row>
    <row r="229" spans="1:7" x14ac:dyDescent="0.25">
      <c r="A229">
        <v>1610</v>
      </c>
      <c r="B229" t="s">
        <v>319</v>
      </c>
      <c r="C229" t="s">
        <v>229</v>
      </c>
      <c r="D229" s="3" t="s">
        <v>81</v>
      </c>
      <c r="E229" t="e">
        <f>VLOOKUP(Tabela14[[#This Row],[ID_COD]],[1]!Tabela2[#Data],6,0)</f>
        <v>#N/A</v>
      </c>
      <c r="F229" t="s">
        <v>239</v>
      </c>
      <c r="G229" s="4">
        <v>17.34</v>
      </c>
    </row>
    <row r="230" spans="1:7" x14ac:dyDescent="0.25">
      <c r="B230" t="s">
        <v>320</v>
      </c>
      <c r="C230" t="s">
        <v>240</v>
      </c>
      <c r="D230" s="3" t="s">
        <v>81</v>
      </c>
      <c r="E230" t="e">
        <f>VLOOKUP(Tabela14[[#This Row],[ID_COD]],[1]!Tabela2[#Data],6,0)</f>
        <v>#N/A</v>
      </c>
      <c r="G230" s="4">
        <v>3.66</v>
      </c>
    </row>
    <row r="231" spans="1:7" x14ac:dyDescent="0.25">
      <c r="A231">
        <v>163</v>
      </c>
      <c r="B231" t="s">
        <v>321</v>
      </c>
      <c r="C231" t="s">
        <v>240</v>
      </c>
      <c r="D231" s="3" t="s">
        <v>81</v>
      </c>
      <c r="E231">
        <f>VLOOKUP(Tabela14[[#This Row],[ID_COD]],[1]!Tabela2[#Data],6,0)</f>
        <v>110</v>
      </c>
      <c r="F231" t="s">
        <v>6</v>
      </c>
      <c r="G231" s="4">
        <v>3.97</v>
      </c>
    </row>
    <row r="232" spans="1:7" x14ac:dyDescent="0.25">
      <c r="A232">
        <v>480</v>
      </c>
      <c r="B232" t="s">
        <v>322</v>
      </c>
      <c r="C232" t="s">
        <v>240</v>
      </c>
      <c r="D232" s="3" t="s">
        <v>81</v>
      </c>
      <c r="E232">
        <f>VLOOKUP(Tabela14[[#This Row],[ID_COD]],[1]!Tabela2[#Data],6,0)</f>
        <v>110</v>
      </c>
      <c r="F232" t="s">
        <v>18</v>
      </c>
      <c r="G232" s="4">
        <v>4.91</v>
      </c>
    </row>
    <row r="233" spans="1:7" x14ac:dyDescent="0.25">
      <c r="A233">
        <v>164</v>
      </c>
      <c r="B233" t="s">
        <v>323</v>
      </c>
      <c r="C233" t="s">
        <v>240</v>
      </c>
      <c r="D233" s="3" t="s">
        <v>81</v>
      </c>
      <c r="E233">
        <f>VLOOKUP(Tabela14[[#This Row],[ID_COD]],[1]!Tabela2[#Data],6,0)</f>
        <v>90</v>
      </c>
      <c r="F233" t="s">
        <v>24</v>
      </c>
      <c r="G233" s="4">
        <v>5.63</v>
      </c>
    </row>
    <row r="234" spans="1:7" x14ac:dyDescent="0.25">
      <c r="A234">
        <v>165</v>
      </c>
      <c r="B234" t="s">
        <v>324</v>
      </c>
      <c r="C234" t="s">
        <v>240</v>
      </c>
      <c r="D234" s="3" t="s">
        <v>81</v>
      </c>
      <c r="E234">
        <f>VLOOKUP(Tabela14[[#This Row],[ID_COD]],[1]!Tabela2[#Data],6,0)</f>
        <v>70</v>
      </c>
      <c r="F234" t="s">
        <v>30</v>
      </c>
      <c r="G234" s="4">
        <v>7.25</v>
      </c>
    </row>
    <row r="235" spans="1:7" x14ac:dyDescent="0.25">
      <c r="B235" t="s">
        <v>325</v>
      </c>
      <c r="C235" t="s">
        <v>240</v>
      </c>
      <c r="D235" s="3" t="s">
        <v>81</v>
      </c>
      <c r="E235" t="e">
        <f>VLOOKUP(Tabela14[[#This Row],[ID_COD]],[1]!Tabela2[#Data],6,0)</f>
        <v>#N/A</v>
      </c>
      <c r="G235" s="4" t="e">
        <v>#N/A</v>
      </c>
    </row>
    <row r="236" spans="1:7" x14ac:dyDescent="0.25">
      <c r="A236">
        <v>166</v>
      </c>
      <c r="B236" t="s">
        <v>326</v>
      </c>
      <c r="C236" t="s">
        <v>240</v>
      </c>
      <c r="D236" s="3" t="s">
        <v>81</v>
      </c>
      <c r="E236">
        <f>VLOOKUP(Tabela14[[#This Row],[ID_COD]],[1]!Tabela2[#Data],6,0)</f>
        <v>50</v>
      </c>
      <c r="F236" t="s">
        <v>241</v>
      </c>
      <c r="G236" s="4">
        <v>10.74</v>
      </c>
    </row>
    <row r="237" spans="1:7" x14ac:dyDescent="0.25">
      <c r="B237" t="s">
        <v>327</v>
      </c>
      <c r="C237" t="s">
        <v>240</v>
      </c>
      <c r="D237" s="3" t="s">
        <v>81</v>
      </c>
      <c r="E237" t="e">
        <f>VLOOKUP(Tabela14[[#This Row],[ID_COD]],[1]!Tabela2[#Data],6,0)</f>
        <v>#N/A</v>
      </c>
      <c r="G237" s="4" t="e">
        <v>#N/A</v>
      </c>
    </row>
    <row r="238" spans="1:7" x14ac:dyDescent="0.25">
      <c r="A238">
        <v>171</v>
      </c>
      <c r="B238" t="s">
        <v>328</v>
      </c>
      <c r="C238" t="s">
        <v>240</v>
      </c>
      <c r="D238" s="3" t="s">
        <v>81</v>
      </c>
      <c r="E238">
        <f>VLOOKUP(Tabela14[[#This Row],[ID_COD]],[1]!Tabela2[#Data],6,0)</f>
        <v>100</v>
      </c>
      <c r="F238" t="s">
        <v>15</v>
      </c>
      <c r="G238" s="4">
        <v>5.38</v>
      </c>
    </row>
    <row r="239" spans="1:7" x14ac:dyDescent="0.25">
      <c r="A239">
        <v>478</v>
      </c>
      <c r="B239" t="s">
        <v>329</v>
      </c>
      <c r="C239" t="s">
        <v>240</v>
      </c>
      <c r="D239" s="3" t="s">
        <v>81</v>
      </c>
      <c r="E239">
        <f>VLOOKUP(Tabela14[[#This Row],[ID_COD]],[1]!Tabela2[#Data],6,0)</f>
        <v>90</v>
      </c>
      <c r="F239" t="s">
        <v>22</v>
      </c>
      <c r="G239" s="4">
        <v>6.78</v>
      </c>
    </row>
    <row r="240" spans="1:7" x14ac:dyDescent="0.25">
      <c r="A240">
        <v>172</v>
      </c>
      <c r="B240" t="s">
        <v>330</v>
      </c>
      <c r="C240" t="s">
        <v>240</v>
      </c>
      <c r="D240" s="3" t="s">
        <v>81</v>
      </c>
      <c r="E240">
        <f>VLOOKUP(Tabela14[[#This Row],[ID_COD]],[1]!Tabela2[#Data],6,0)</f>
        <v>75</v>
      </c>
      <c r="F240" t="s">
        <v>29</v>
      </c>
      <c r="G240" s="4">
        <v>7.94</v>
      </c>
    </row>
    <row r="241" spans="1:7" x14ac:dyDescent="0.25">
      <c r="A241">
        <v>173</v>
      </c>
      <c r="B241" t="s">
        <v>331</v>
      </c>
      <c r="C241" t="s">
        <v>240</v>
      </c>
      <c r="D241" s="3" t="s">
        <v>81</v>
      </c>
      <c r="E241">
        <f>VLOOKUP(Tabela14[[#This Row],[ID_COD]],[1]!Tabela2[#Data],6,0)</f>
        <v>60</v>
      </c>
      <c r="F241" t="s">
        <v>35</v>
      </c>
      <c r="G241" s="4">
        <v>10.3</v>
      </c>
    </row>
    <row r="242" spans="1:7" x14ac:dyDescent="0.25">
      <c r="B242" t="s">
        <v>332</v>
      </c>
      <c r="C242" t="s">
        <v>240</v>
      </c>
      <c r="D242" s="3" t="s">
        <v>81</v>
      </c>
      <c r="E242" t="e">
        <f>VLOOKUP(Tabela14[[#This Row],[ID_COD]],[1]!Tabela2[#Data],6,0)</f>
        <v>#N/A</v>
      </c>
      <c r="G242" s="4" t="e">
        <v>#N/A</v>
      </c>
    </row>
    <row r="243" spans="1:7" x14ac:dyDescent="0.25">
      <c r="A243">
        <v>174</v>
      </c>
      <c r="B243" t="s">
        <v>333</v>
      </c>
      <c r="C243" t="s">
        <v>240</v>
      </c>
      <c r="D243" s="3" t="s">
        <v>81</v>
      </c>
      <c r="E243">
        <f>VLOOKUP(Tabela14[[#This Row],[ID_COD]],[1]!Tabela2[#Data],6,0)</f>
        <v>40</v>
      </c>
      <c r="F243" t="s">
        <v>38</v>
      </c>
      <c r="G243" s="4">
        <v>14.74</v>
      </c>
    </row>
    <row r="244" spans="1:7" x14ac:dyDescent="0.25">
      <c r="B244" t="s">
        <v>334</v>
      </c>
      <c r="C244" t="s">
        <v>242</v>
      </c>
      <c r="D244" s="3" t="s">
        <v>81</v>
      </c>
      <c r="E244" t="e">
        <f>VLOOKUP(Tabela14[[#This Row],[ID_COD]],[1]!Tabela2[#Data],6,0)</f>
        <v>#N/A</v>
      </c>
      <c r="G244" s="4">
        <v>4.2699999999999996</v>
      </c>
    </row>
    <row r="245" spans="1:7" x14ac:dyDescent="0.25">
      <c r="A245">
        <v>159</v>
      </c>
      <c r="B245" t="s">
        <v>335</v>
      </c>
      <c r="C245" t="s">
        <v>242</v>
      </c>
      <c r="D245" s="3" t="s">
        <v>81</v>
      </c>
      <c r="E245">
        <f>VLOOKUP(Tabela14[[#This Row],[ID_COD]],[1]!Tabela2[#Data],6,0)</f>
        <v>110</v>
      </c>
      <c r="F245" t="s">
        <v>230</v>
      </c>
      <c r="G245" s="4">
        <v>4.6399999999999997</v>
      </c>
    </row>
    <row r="246" spans="1:7" x14ac:dyDescent="0.25">
      <c r="A246">
        <v>481</v>
      </c>
      <c r="B246" t="s">
        <v>336</v>
      </c>
      <c r="C246" t="s">
        <v>242</v>
      </c>
      <c r="D246" s="3" t="s">
        <v>81</v>
      </c>
      <c r="E246">
        <f>VLOOKUP(Tabela14[[#This Row],[ID_COD]],[1]!Tabela2[#Data],6,0)</f>
        <v>110</v>
      </c>
      <c r="F246" t="s">
        <v>243</v>
      </c>
      <c r="G246" s="4">
        <v>5.74</v>
      </c>
    </row>
    <row r="247" spans="1:7" x14ac:dyDescent="0.25">
      <c r="A247">
        <v>160</v>
      </c>
      <c r="B247" t="s">
        <v>337</v>
      </c>
      <c r="C247" t="s">
        <v>242</v>
      </c>
      <c r="D247" s="3" t="s">
        <v>81</v>
      </c>
      <c r="E247">
        <f>VLOOKUP(Tabela14[[#This Row],[ID_COD]],[1]!Tabela2[#Data],6,0)</f>
        <v>80</v>
      </c>
      <c r="F247" t="s">
        <v>232</v>
      </c>
      <c r="G247" s="4">
        <v>6.57</v>
      </c>
    </row>
    <row r="248" spans="1:7" x14ac:dyDescent="0.25">
      <c r="A248">
        <v>161</v>
      </c>
      <c r="B248" t="s">
        <v>310</v>
      </c>
      <c r="C248" t="s">
        <v>242</v>
      </c>
      <c r="D248" s="3" t="s">
        <v>81</v>
      </c>
      <c r="E248">
        <f>VLOOKUP(Tabela14[[#This Row],[ID_COD]],[1]!Tabela2[#Data],6,0)</f>
        <v>70</v>
      </c>
      <c r="F248" t="s">
        <v>33</v>
      </c>
      <c r="G248" s="4">
        <v>8.4499999999999993</v>
      </c>
    </row>
    <row r="249" spans="1:7" x14ac:dyDescent="0.25">
      <c r="B249" t="s">
        <v>311</v>
      </c>
      <c r="C249" t="s">
        <v>242</v>
      </c>
      <c r="D249" s="3" t="s">
        <v>81</v>
      </c>
      <c r="E249" t="e">
        <f>VLOOKUP(Tabela14[[#This Row],[ID_COD]],[1]!Tabela2[#Data],6,0)</f>
        <v>#N/A</v>
      </c>
      <c r="G249" s="4" t="e">
        <v>#N/A</v>
      </c>
    </row>
    <row r="250" spans="1:7" x14ac:dyDescent="0.25">
      <c r="A250">
        <v>162</v>
      </c>
      <c r="B250" t="s">
        <v>312</v>
      </c>
      <c r="C250" t="s">
        <v>242</v>
      </c>
      <c r="D250" s="3" t="s">
        <v>81</v>
      </c>
      <c r="E250">
        <f>VLOOKUP(Tabela14[[#This Row],[ID_COD]],[1]!Tabela2[#Data],6,0)</f>
        <v>45</v>
      </c>
      <c r="F250" t="s">
        <v>244</v>
      </c>
      <c r="G250" s="4">
        <v>12.58</v>
      </c>
    </row>
    <row r="251" spans="1:7" x14ac:dyDescent="0.25">
      <c r="B251" t="s">
        <v>313</v>
      </c>
      <c r="C251" t="s">
        <v>242</v>
      </c>
      <c r="D251" s="3" t="s">
        <v>81</v>
      </c>
      <c r="E251" t="e">
        <f>VLOOKUP(Tabela14[[#This Row],[ID_COD]],[1]!Tabela2[#Data],6,0)</f>
        <v>#N/A</v>
      </c>
      <c r="G251" s="4" t="e">
        <v>#N/A</v>
      </c>
    </row>
    <row r="252" spans="1:7" x14ac:dyDescent="0.25">
      <c r="A252">
        <v>167</v>
      </c>
      <c r="B252" t="s">
        <v>314</v>
      </c>
      <c r="C252" t="s">
        <v>242</v>
      </c>
      <c r="D252" s="3" t="s">
        <v>81</v>
      </c>
      <c r="E252">
        <f>VLOOKUP(Tabela14[[#This Row],[ID_COD]],[1]!Tabela2[#Data],6,0)</f>
        <v>90</v>
      </c>
      <c r="F252" t="s">
        <v>245</v>
      </c>
      <c r="G252" s="4">
        <v>6.41</v>
      </c>
    </row>
    <row r="253" spans="1:7" x14ac:dyDescent="0.25">
      <c r="A253">
        <v>479</v>
      </c>
      <c r="B253" t="s">
        <v>315</v>
      </c>
      <c r="C253" t="s">
        <v>242</v>
      </c>
      <c r="D253" s="3" t="s">
        <v>81</v>
      </c>
      <c r="E253">
        <f>VLOOKUP(Tabela14[[#This Row],[ID_COD]],[1]!Tabela2[#Data],6,0)</f>
        <v>80</v>
      </c>
      <c r="F253" t="s">
        <v>246</v>
      </c>
      <c r="G253" s="4">
        <v>7.92</v>
      </c>
    </row>
    <row r="254" spans="1:7" x14ac:dyDescent="0.25">
      <c r="A254">
        <v>168</v>
      </c>
      <c r="B254" t="s">
        <v>316</v>
      </c>
      <c r="C254" t="s">
        <v>242</v>
      </c>
      <c r="D254" s="3" t="s">
        <v>81</v>
      </c>
      <c r="E254">
        <f>VLOOKUP(Tabela14[[#This Row],[ID_COD]],[1]!Tabela2[#Data],6,0)</f>
        <v>70</v>
      </c>
      <c r="F254" t="s">
        <v>247</v>
      </c>
      <c r="G254" s="4">
        <v>9.3699999999999992</v>
      </c>
    </row>
    <row r="255" spans="1:7" x14ac:dyDescent="0.25">
      <c r="A255">
        <v>169</v>
      </c>
      <c r="B255" t="s">
        <v>317</v>
      </c>
      <c r="C255" t="s">
        <v>242</v>
      </c>
      <c r="D255" s="3" t="s">
        <v>81</v>
      </c>
      <c r="E255">
        <f>VLOOKUP(Tabela14[[#This Row],[ID_COD]],[1]!Tabela2[#Data],6,0)</f>
        <v>60</v>
      </c>
      <c r="F255" t="s">
        <v>248</v>
      </c>
      <c r="G255" s="4">
        <v>12.03</v>
      </c>
    </row>
    <row r="256" spans="1:7" x14ac:dyDescent="0.25">
      <c r="B256" t="s">
        <v>318</v>
      </c>
      <c r="C256" t="s">
        <v>242</v>
      </c>
      <c r="D256" s="3" t="s">
        <v>81</v>
      </c>
      <c r="E256" t="e">
        <f>VLOOKUP(Tabela14[[#This Row],[ID_COD]],[1]!Tabela2[#Data],6,0)</f>
        <v>#N/A</v>
      </c>
      <c r="G256" s="4" t="e">
        <v>#N/A</v>
      </c>
    </row>
    <row r="257" spans="1:7" x14ac:dyDescent="0.25">
      <c r="A257">
        <v>170</v>
      </c>
      <c r="B257" t="s">
        <v>319</v>
      </c>
      <c r="C257" t="s">
        <v>242</v>
      </c>
      <c r="D257" s="3" t="s">
        <v>81</v>
      </c>
      <c r="E257">
        <f>VLOOKUP(Tabela14[[#This Row],[ID_COD]],[1]!Tabela2[#Data],6,0)</f>
        <v>35</v>
      </c>
      <c r="F257" t="s">
        <v>40</v>
      </c>
      <c r="G257" s="4">
        <v>17.34</v>
      </c>
    </row>
    <row r="258" spans="1:7" x14ac:dyDescent="0.25">
      <c r="B258" t="s">
        <v>320</v>
      </c>
      <c r="C258" t="s">
        <v>249</v>
      </c>
      <c r="D258" s="3" t="s">
        <v>81</v>
      </c>
      <c r="E258" t="e">
        <f>VLOOKUP(Tabela14[[#This Row],[ID_COD]],[1]!Tabela2[#Data],6,0)</f>
        <v>#N/A</v>
      </c>
      <c r="G258" s="4">
        <v>3.66</v>
      </c>
    </row>
    <row r="259" spans="1:7" x14ac:dyDescent="0.25">
      <c r="A259">
        <v>1646</v>
      </c>
      <c r="B259" t="s">
        <v>321</v>
      </c>
      <c r="C259" t="s">
        <v>249</v>
      </c>
      <c r="D259" s="3" t="s">
        <v>81</v>
      </c>
      <c r="E259" t="e">
        <f>VLOOKUP(Tabela14[[#This Row],[ID_COD]],[1]!Tabela2[#Data],6,0)</f>
        <v>#N/A</v>
      </c>
      <c r="F259" t="s">
        <v>250</v>
      </c>
      <c r="G259" s="4">
        <v>3.97</v>
      </c>
    </row>
    <row r="260" spans="1:7" x14ac:dyDescent="0.25">
      <c r="A260">
        <v>1647</v>
      </c>
      <c r="B260" t="s">
        <v>322</v>
      </c>
      <c r="C260" t="s">
        <v>249</v>
      </c>
      <c r="D260" s="3" t="s">
        <v>81</v>
      </c>
      <c r="E260" t="e">
        <f>VLOOKUP(Tabela14[[#This Row],[ID_COD]],[1]!Tabela2[#Data],6,0)</f>
        <v>#N/A</v>
      </c>
      <c r="F260" t="s">
        <v>251</v>
      </c>
      <c r="G260" s="4">
        <v>4.91</v>
      </c>
    </row>
    <row r="261" spans="1:7" x14ac:dyDescent="0.25">
      <c r="A261">
        <v>1648</v>
      </c>
      <c r="B261" t="s">
        <v>323</v>
      </c>
      <c r="C261" t="s">
        <v>249</v>
      </c>
      <c r="D261" s="3" t="s">
        <v>81</v>
      </c>
      <c r="E261" t="e">
        <f>VLOOKUP(Tabela14[[#This Row],[ID_COD]],[1]!Tabela2[#Data],6,0)</f>
        <v>#N/A</v>
      </c>
      <c r="F261" t="s">
        <v>252</v>
      </c>
      <c r="G261" s="4">
        <v>5.63</v>
      </c>
    </row>
    <row r="262" spans="1:7" x14ac:dyDescent="0.25">
      <c r="A262">
        <v>1649</v>
      </c>
      <c r="B262" t="s">
        <v>324</v>
      </c>
      <c r="C262" t="s">
        <v>249</v>
      </c>
      <c r="D262" s="3" t="s">
        <v>81</v>
      </c>
      <c r="E262" t="e">
        <f>VLOOKUP(Tabela14[[#This Row],[ID_COD]],[1]!Tabela2[#Data],6,0)</f>
        <v>#N/A</v>
      </c>
      <c r="F262" t="s">
        <v>253</v>
      </c>
      <c r="G262" s="4">
        <v>7.25</v>
      </c>
    </row>
    <row r="263" spans="1:7" x14ac:dyDescent="0.25">
      <c r="B263" t="s">
        <v>325</v>
      </c>
      <c r="C263" t="s">
        <v>249</v>
      </c>
      <c r="D263" s="3" t="s">
        <v>81</v>
      </c>
      <c r="E263" t="e">
        <f>VLOOKUP(Tabela14[[#This Row],[ID_COD]],[1]!Tabela2[#Data],6,0)</f>
        <v>#N/A</v>
      </c>
      <c r="G263" s="4" t="e">
        <v>#N/A</v>
      </c>
    </row>
    <row r="264" spans="1:7" x14ac:dyDescent="0.25">
      <c r="A264">
        <v>1650</v>
      </c>
      <c r="B264" t="s">
        <v>326</v>
      </c>
      <c r="C264" t="s">
        <v>249</v>
      </c>
      <c r="D264" s="3" t="s">
        <v>81</v>
      </c>
      <c r="E264" t="e">
        <f>VLOOKUP(Tabela14[[#This Row],[ID_COD]],[1]!Tabela2[#Data],6,0)</f>
        <v>#N/A</v>
      </c>
      <c r="F264" t="s">
        <v>254</v>
      </c>
      <c r="G264" s="4">
        <v>10.74</v>
      </c>
    </row>
    <row r="265" spans="1:7" x14ac:dyDescent="0.25">
      <c r="B265" t="s">
        <v>327</v>
      </c>
      <c r="C265" t="s">
        <v>249</v>
      </c>
      <c r="D265" s="3" t="s">
        <v>81</v>
      </c>
      <c r="E265" t="e">
        <f>VLOOKUP(Tabela14[[#This Row],[ID_COD]],[1]!Tabela2[#Data],6,0)</f>
        <v>#N/A</v>
      </c>
      <c r="G265" s="4" t="e">
        <v>#N/A</v>
      </c>
    </row>
    <row r="266" spans="1:7" x14ac:dyDescent="0.25">
      <c r="A266">
        <v>1651</v>
      </c>
      <c r="B266" t="s">
        <v>328</v>
      </c>
      <c r="C266" t="s">
        <v>249</v>
      </c>
      <c r="D266" s="3" t="s">
        <v>81</v>
      </c>
      <c r="E266" t="e">
        <f>VLOOKUP(Tabela14[[#This Row],[ID_COD]],[1]!Tabela2[#Data],6,0)</f>
        <v>#N/A</v>
      </c>
      <c r="F266" t="s">
        <v>255</v>
      </c>
      <c r="G266" s="4">
        <v>5.38</v>
      </c>
    </row>
    <row r="267" spans="1:7" x14ac:dyDescent="0.25">
      <c r="A267">
        <v>1652</v>
      </c>
      <c r="B267" t="s">
        <v>329</v>
      </c>
      <c r="C267" t="s">
        <v>249</v>
      </c>
      <c r="D267" s="3" t="s">
        <v>81</v>
      </c>
      <c r="E267" t="e">
        <f>VLOOKUP(Tabela14[[#This Row],[ID_COD]],[1]!Tabela2[#Data],6,0)</f>
        <v>#N/A</v>
      </c>
      <c r="F267" t="s">
        <v>20</v>
      </c>
      <c r="G267" s="4">
        <v>6.78</v>
      </c>
    </row>
    <row r="268" spans="1:7" x14ac:dyDescent="0.25">
      <c r="A268">
        <v>1653</v>
      </c>
      <c r="B268" t="s">
        <v>330</v>
      </c>
      <c r="C268" t="s">
        <v>249</v>
      </c>
      <c r="D268" s="3" t="s">
        <v>81</v>
      </c>
      <c r="E268" t="e">
        <f>VLOOKUP(Tabela14[[#This Row],[ID_COD]],[1]!Tabela2[#Data],6,0)</f>
        <v>#N/A</v>
      </c>
      <c r="F268" t="s">
        <v>256</v>
      </c>
      <c r="G268" s="4">
        <v>7.94</v>
      </c>
    </row>
    <row r="269" spans="1:7" x14ac:dyDescent="0.25">
      <c r="A269">
        <v>1654</v>
      </c>
      <c r="B269" t="s">
        <v>331</v>
      </c>
      <c r="C269" t="s">
        <v>249</v>
      </c>
      <c r="D269" s="3" t="s">
        <v>81</v>
      </c>
      <c r="E269" t="e">
        <f>VLOOKUP(Tabela14[[#This Row],[ID_COD]],[1]!Tabela2[#Data],6,0)</f>
        <v>#N/A</v>
      </c>
      <c r="F269" t="s">
        <v>257</v>
      </c>
      <c r="G269" s="4">
        <v>10.3</v>
      </c>
    </row>
    <row r="270" spans="1:7" x14ac:dyDescent="0.25">
      <c r="B270" t="s">
        <v>332</v>
      </c>
      <c r="C270" t="s">
        <v>249</v>
      </c>
      <c r="D270" s="3" t="s">
        <v>81</v>
      </c>
      <c r="E270" t="e">
        <f>VLOOKUP(Tabela14[[#This Row],[ID_COD]],[1]!Tabela2[#Data],6,0)</f>
        <v>#N/A</v>
      </c>
      <c r="G270" s="4" t="e">
        <v>#N/A</v>
      </c>
    </row>
    <row r="271" spans="1:7" x14ac:dyDescent="0.25">
      <c r="A271">
        <v>1655</v>
      </c>
      <c r="B271" t="s">
        <v>333</v>
      </c>
      <c r="C271" t="s">
        <v>249</v>
      </c>
      <c r="D271" s="3" t="s">
        <v>81</v>
      </c>
      <c r="E271" t="e">
        <f>VLOOKUP(Tabela14[[#This Row],[ID_COD]],[1]!Tabela2[#Data],6,0)</f>
        <v>#N/A</v>
      </c>
      <c r="F271" t="s">
        <v>258</v>
      </c>
      <c r="G271" s="4">
        <v>14.74</v>
      </c>
    </row>
    <row r="272" spans="1:7" x14ac:dyDescent="0.25">
      <c r="A272">
        <v>1787</v>
      </c>
      <c r="B272" t="s">
        <v>334</v>
      </c>
      <c r="C272" t="s">
        <v>259</v>
      </c>
      <c r="D272" s="3" t="s">
        <v>81</v>
      </c>
      <c r="E272" t="e">
        <f>VLOOKUP(Tabela14[[#This Row],[ID_COD]],[1]!Tabela2[#Data],6,0)</f>
        <v>#N/A</v>
      </c>
      <c r="F272" t="s">
        <v>260</v>
      </c>
      <c r="G272" s="4">
        <v>4.2699999999999996</v>
      </c>
    </row>
    <row r="273" spans="1:7" x14ac:dyDescent="0.25">
      <c r="A273">
        <v>1656</v>
      </c>
      <c r="B273" t="s">
        <v>335</v>
      </c>
      <c r="C273" t="s">
        <v>259</v>
      </c>
      <c r="D273" s="3" t="s">
        <v>81</v>
      </c>
      <c r="E273">
        <f>VLOOKUP(Tabela14[[#This Row],[ID_COD]],[1]!Tabela2[#Data],6,0)</f>
        <v>110</v>
      </c>
      <c r="F273" t="s">
        <v>261</v>
      </c>
      <c r="G273" s="4">
        <v>4.6399999999999997</v>
      </c>
    </row>
    <row r="274" spans="1:7" x14ac:dyDescent="0.25">
      <c r="A274">
        <v>1657</v>
      </c>
      <c r="B274" t="s">
        <v>336</v>
      </c>
      <c r="C274" t="s">
        <v>259</v>
      </c>
      <c r="D274" s="3" t="s">
        <v>81</v>
      </c>
      <c r="E274" t="e">
        <f>VLOOKUP(Tabela14[[#This Row],[ID_COD]],[1]!Tabela2[#Data],6,0)</f>
        <v>#N/A</v>
      </c>
      <c r="F274" t="s">
        <v>251</v>
      </c>
      <c r="G274" s="4">
        <v>5.74</v>
      </c>
    </row>
    <row r="275" spans="1:7" x14ac:dyDescent="0.25">
      <c r="A275">
        <v>1658</v>
      </c>
      <c r="B275" t="s">
        <v>337</v>
      </c>
      <c r="C275" t="s">
        <v>259</v>
      </c>
      <c r="D275" s="3" t="s">
        <v>81</v>
      </c>
      <c r="E275" t="e">
        <f>VLOOKUP(Tabela14[[#This Row],[ID_COD]],[1]!Tabela2[#Data],6,0)</f>
        <v>#N/A</v>
      </c>
      <c r="F275" t="s">
        <v>252</v>
      </c>
      <c r="G275" s="4">
        <v>6.57</v>
      </c>
    </row>
    <row r="276" spans="1:7" x14ac:dyDescent="0.25">
      <c r="A276">
        <v>1659</v>
      </c>
      <c r="B276" t="s">
        <v>310</v>
      </c>
      <c r="C276" t="s">
        <v>259</v>
      </c>
      <c r="D276" s="3" t="s">
        <v>81</v>
      </c>
      <c r="E276" t="e">
        <f>VLOOKUP(Tabela14[[#This Row],[ID_COD]],[1]!Tabela2[#Data],6,0)</f>
        <v>#N/A</v>
      </c>
      <c r="F276" t="s">
        <v>262</v>
      </c>
      <c r="G276" s="4">
        <v>8.4499999999999993</v>
      </c>
    </row>
    <row r="277" spans="1:7" x14ac:dyDescent="0.25">
      <c r="B277" t="s">
        <v>311</v>
      </c>
      <c r="C277" t="s">
        <v>259</v>
      </c>
      <c r="D277" s="3" t="s">
        <v>81</v>
      </c>
      <c r="E277" t="e">
        <f>VLOOKUP(Tabela14[[#This Row],[ID_COD]],[1]!Tabela2[#Data],6,0)</f>
        <v>#N/A</v>
      </c>
      <c r="G277" s="4" t="e">
        <v>#N/A</v>
      </c>
    </row>
    <row r="278" spans="1:7" x14ac:dyDescent="0.25">
      <c r="A278">
        <v>1660</v>
      </c>
      <c r="B278" t="s">
        <v>312</v>
      </c>
      <c r="C278" t="s">
        <v>259</v>
      </c>
      <c r="D278" s="3" t="s">
        <v>81</v>
      </c>
      <c r="E278" t="e">
        <f>VLOOKUP(Tabela14[[#This Row],[ID_COD]],[1]!Tabela2[#Data],6,0)</f>
        <v>#N/A</v>
      </c>
      <c r="F278" t="s">
        <v>254</v>
      </c>
      <c r="G278" s="4">
        <v>12.58</v>
      </c>
    </row>
    <row r="279" spans="1:7" x14ac:dyDescent="0.25">
      <c r="B279" t="s">
        <v>313</v>
      </c>
      <c r="C279" t="s">
        <v>259</v>
      </c>
      <c r="D279" s="3" t="s">
        <v>81</v>
      </c>
      <c r="E279" t="e">
        <f>VLOOKUP(Tabela14[[#This Row],[ID_COD]],[1]!Tabela2[#Data],6,0)</f>
        <v>#N/A</v>
      </c>
      <c r="G279" s="4" t="e">
        <v>#N/A</v>
      </c>
    </row>
    <row r="280" spans="1:7" x14ac:dyDescent="0.25">
      <c r="A280">
        <v>1661</v>
      </c>
      <c r="B280" t="s">
        <v>314</v>
      </c>
      <c r="C280" t="s">
        <v>259</v>
      </c>
      <c r="D280" s="3" t="s">
        <v>81</v>
      </c>
      <c r="E280" t="e">
        <f>VLOOKUP(Tabela14[[#This Row],[ID_COD]],[1]!Tabela2[#Data],6,0)</f>
        <v>#N/A</v>
      </c>
      <c r="F280" t="s">
        <v>13</v>
      </c>
      <c r="G280" s="4">
        <v>6.41</v>
      </c>
    </row>
    <row r="281" spans="1:7" x14ac:dyDescent="0.25">
      <c r="A281">
        <v>1662</v>
      </c>
      <c r="B281" t="s">
        <v>315</v>
      </c>
      <c r="C281" t="s">
        <v>259</v>
      </c>
      <c r="D281" s="3" t="s">
        <v>81</v>
      </c>
      <c r="E281" t="e">
        <f>VLOOKUP(Tabela14[[#This Row],[ID_COD]],[1]!Tabela2[#Data],6,0)</f>
        <v>#N/A</v>
      </c>
      <c r="F281" t="s">
        <v>263</v>
      </c>
      <c r="G281" s="4">
        <v>7.92</v>
      </c>
    </row>
    <row r="282" spans="1:7" x14ac:dyDescent="0.25">
      <c r="A282">
        <v>1663</v>
      </c>
      <c r="B282" t="s">
        <v>316</v>
      </c>
      <c r="C282" t="s">
        <v>259</v>
      </c>
      <c r="D282" s="3" t="s">
        <v>81</v>
      </c>
      <c r="E282" t="e">
        <f>VLOOKUP(Tabela14[[#This Row],[ID_COD]],[1]!Tabela2[#Data],6,0)</f>
        <v>#N/A</v>
      </c>
      <c r="F282" t="s">
        <v>264</v>
      </c>
      <c r="G282" s="4">
        <v>9.3699999999999992</v>
      </c>
    </row>
    <row r="283" spans="1:7" x14ac:dyDescent="0.25">
      <c r="A283">
        <v>1664</v>
      </c>
      <c r="B283" t="s">
        <v>317</v>
      </c>
      <c r="C283" t="s">
        <v>259</v>
      </c>
      <c r="D283" s="3" t="s">
        <v>81</v>
      </c>
      <c r="E283" t="e">
        <f>VLOOKUP(Tabela14[[#This Row],[ID_COD]],[1]!Tabela2[#Data],6,0)</f>
        <v>#N/A</v>
      </c>
      <c r="F283" t="s">
        <v>265</v>
      </c>
      <c r="G283" s="4">
        <v>12.03</v>
      </c>
    </row>
    <row r="284" spans="1:7" x14ac:dyDescent="0.25">
      <c r="B284" t="s">
        <v>318</v>
      </c>
      <c r="C284" t="s">
        <v>259</v>
      </c>
      <c r="D284" s="3" t="s">
        <v>81</v>
      </c>
      <c r="E284" t="e">
        <f>VLOOKUP(Tabela14[[#This Row],[ID_COD]],[1]!Tabela2[#Data],6,0)</f>
        <v>#N/A</v>
      </c>
      <c r="G284" s="4" t="e">
        <v>#N/A</v>
      </c>
    </row>
    <row r="285" spans="1:7" x14ac:dyDescent="0.25">
      <c r="A285">
        <v>1665</v>
      </c>
      <c r="B285" t="s">
        <v>319</v>
      </c>
      <c r="C285" t="s">
        <v>259</v>
      </c>
      <c r="D285" s="3" t="s">
        <v>81</v>
      </c>
      <c r="E285" t="e">
        <f>VLOOKUP(Tabela14[[#This Row],[ID_COD]],[1]!Tabela2[#Data],6,0)</f>
        <v>#N/A</v>
      </c>
      <c r="F285" t="s">
        <v>266</v>
      </c>
      <c r="G285" s="4">
        <v>17.34</v>
      </c>
    </row>
    <row r="286" spans="1:7" x14ac:dyDescent="0.25">
      <c r="B286" t="s">
        <v>348</v>
      </c>
      <c r="C286" t="s">
        <v>222</v>
      </c>
      <c r="D286" s="3" t="s">
        <v>81</v>
      </c>
      <c r="E286" t="e">
        <f>VLOOKUP(Tabela14[[#This Row],[ID_COD]],[1]!Tabela2[#Data],6,0)</f>
        <v>#N/A</v>
      </c>
      <c r="G286" s="4" t="e">
        <v>#N/A</v>
      </c>
    </row>
    <row r="287" spans="1:7" x14ac:dyDescent="0.25">
      <c r="A287">
        <v>1616</v>
      </c>
      <c r="B287" t="s">
        <v>349</v>
      </c>
      <c r="C287" t="s">
        <v>222</v>
      </c>
      <c r="D287" s="3" t="s">
        <v>81</v>
      </c>
      <c r="E287" t="e">
        <f>VLOOKUP(Tabela14[[#This Row],[ID_COD]],[1]!Tabela2[#Data],6,0)</f>
        <v>#N/A</v>
      </c>
      <c r="F287" t="s">
        <v>267</v>
      </c>
      <c r="G287" s="4">
        <v>3.85</v>
      </c>
    </row>
    <row r="288" spans="1:7" x14ac:dyDescent="0.25">
      <c r="A288">
        <v>1617</v>
      </c>
      <c r="B288" t="s">
        <v>350</v>
      </c>
      <c r="C288" t="s">
        <v>222</v>
      </c>
      <c r="D288" s="3" t="s">
        <v>81</v>
      </c>
      <c r="E288" t="e">
        <f>VLOOKUP(Tabela14[[#This Row],[ID_COD]],[1]!Tabela2[#Data],6,0)</f>
        <v>#N/A</v>
      </c>
      <c r="F288" t="s">
        <v>268</v>
      </c>
      <c r="G288" s="4">
        <v>4.76</v>
      </c>
    </row>
    <row r="289" spans="1:7" x14ac:dyDescent="0.25">
      <c r="A289">
        <v>1618</v>
      </c>
      <c r="B289" t="s">
        <v>351</v>
      </c>
      <c r="C289" t="s">
        <v>222</v>
      </c>
      <c r="D289" s="3" t="s">
        <v>81</v>
      </c>
      <c r="E289" t="e">
        <f>VLOOKUP(Tabela14[[#This Row],[ID_COD]],[1]!Tabela2[#Data],6,0)</f>
        <v>#N/A</v>
      </c>
      <c r="F289" t="s">
        <v>25</v>
      </c>
      <c r="G289" s="4">
        <v>5.47</v>
      </c>
    </row>
    <row r="290" spans="1:7" x14ac:dyDescent="0.25">
      <c r="A290">
        <v>1619</v>
      </c>
      <c r="B290" t="s">
        <v>352</v>
      </c>
      <c r="C290" t="s">
        <v>222</v>
      </c>
      <c r="D290" s="3" t="s">
        <v>81</v>
      </c>
      <c r="E290" t="e">
        <f>VLOOKUP(Tabela14[[#This Row],[ID_COD]],[1]!Tabela2[#Data],6,0)</f>
        <v>#N/A</v>
      </c>
      <c r="F290" t="s">
        <v>269</v>
      </c>
      <c r="G290" s="4">
        <v>7.03</v>
      </c>
    </row>
    <row r="291" spans="1:7" x14ac:dyDescent="0.25">
      <c r="B291" t="s">
        <v>353</v>
      </c>
      <c r="C291" t="s">
        <v>222</v>
      </c>
      <c r="D291" s="3" t="s">
        <v>81</v>
      </c>
      <c r="E291" t="e">
        <f>VLOOKUP(Tabela14[[#This Row],[ID_COD]],[1]!Tabela2[#Data],6,0)</f>
        <v>#N/A</v>
      </c>
      <c r="G291" s="4" t="e">
        <v>#N/A</v>
      </c>
    </row>
    <row r="292" spans="1:7" x14ac:dyDescent="0.25">
      <c r="A292">
        <v>1620</v>
      </c>
      <c r="B292" t="s">
        <v>354</v>
      </c>
      <c r="C292" t="s">
        <v>222</v>
      </c>
      <c r="D292" s="3" t="s">
        <v>81</v>
      </c>
      <c r="E292" t="e">
        <f>VLOOKUP(Tabela14[[#This Row],[ID_COD]],[1]!Tabela2[#Data],6,0)</f>
        <v>#N/A</v>
      </c>
      <c r="F292" t="s">
        <v>270</v>
      </c>
      <c r="G292" s="4">
        <v>10.42</v>
      </c>
    </row>
    <row r="293" spans="1:7" x14ac:dyDescent="0.25">
      <c r="B293" t="s">
        <v>355</v>
      </c>
      <c r="C293" t="s">
        <v>222</v>
      </c>
      <c r="D293" s="3" t="s">
        <v>81</v>
      </c>
      <c r="E293" t="e">
        <f>VLOOKUP(Tabela14[[#This Row],[ID_COD]],[1]!Tabela2[#Data],6,0)</f>
        <v>#N/A</v>
      </c>
      <c r="G293" s="4" t="e">
        <v>#N/A</v>
      </c>
    </row>
    <row r="294" spans="1:7" x14ac:dyDescent="0.25">
      <c r="A294">
        <v>1611</v>
      </c>
      <c r="B294" t="s">
        <v>356</v>
      </c>
      <c r="C294" t="s">
        <v>222</v>
      </c>
      <c r="D294" s="3" t="s">
        <v>81</v>
      </c>
      <c r="E294" t="e">
        <f>VLOOKUP(Tabela14[[#This Row],[ID_COD]],[1]!Tabela2[#Data],6,0)</f>
        <v>#N/A</v>
      </c>
      <c r="F294" t="s">
        <v>271</v>
      </c>
      <c r="G294" s="4">
        <v>5.21</v>
      </c>
    </row>
    <row r="295" spans="1:7" x14ac:dyDescent="0.25">
      <c r="A295">
        <v>1612</v>
      </c>
      <c r="B295" t="s">
        <v>357</v>
      </c>
      <c r="C295" t="s">
        <v>222</v>
      </c>
      <c r="D295" s="3" t="s">
        <v>81</v>
      </c>
      <c r="E295" t="e">
        <f>VLOOKUP(Tabela14[[#This Row],[ID_COD]],[1]!Tabela2[#Data],6,0)</f>
        <v>#N/A</v>
      </c>
      <c r="F295" t="s">
        <v>272</v>
      </c>
      <c r="G295" s="4">
        <v>6.58</v>
      </c>
    </row>
    <row r="296" spans="1:7" x14ac:dyDescent="0.25">
      <c r="A296">
        <v>1613</v>
      </c>
      <c r="B296" t="s">
        <v>358</v>
      </c>
      <c r="C296" t="s">
        <v>222</v>
      </c>
      <c r="D296" s="3" t="s">
        <v>81</v>
      </c>
      <c r="E296" t="e">
        <f>VLOOKUP(Tabela14[[#This Row],[ID_COD]],[1]!Tabela2[#Data],6,0)</f>
        <v>#N/A</v>
      </c>
      <c r="F296" t="s">
        <v>273</v>
      </c>
      <c r="G296" s="4">
        <v>7.7</v>
      </c>
    </row>
    <row r="297" spans="1:7" x14ac:dyDescent="0.25">
      <c r="A297">
        <v>1614</v>
      </c>
      <c r="B297" t="s">
        <v>359</v>
      </c>
      <c r="C297" t="s">
        <v>222</v>
      </c>
      <c r="D297" s="3" t="s">
        <v>81</v>
      </c>
      <c r="E297" t="e">
        <f>VLOOKUP(Tabela14[[#This Row],[ID_COD]],[1]!Tabela2[#Data],6,0)</f>
        <v>#N/A</v>
      </c>
      <c r="F297" t="s">
        <v>274</v>
      </c>
      <c r="G297" s="4">
        <v>9.99</v>
      </c>
    </row>
    <row r="298" spans="1:7" x14ac:dyDescent="0.25">
      <c r="B298" t="s">
        <v>360</v>
      </c>
      <c r="C298" t="s">
        <v>222</v>
      </c>
      <c r="D298" s="3" t="s">
        <v>81</v>
      </c>
      <c r="E298" t="e">
        <f>VLOOKUP(Tabela14[[#This Row],[ID_COD]],[1]!Tabela2[#Data],6,0)</f>
        <v>#N/A</v>
      </c>
      <c r="G298" s="4" t="e">
        <v>#N/A</v>
      </c>
    </row>
    <row r="299" spans="1:7" x14ac:dyDescent="0.25">
      <c r="A299">
        <v>1615</v>
      </c>
      <c r="B299" t="s">
        <v>361</v>
      </c>
      <c r="C299" t="s">
        <v>222</v>
      </c>
      <c r="D299" s="3" t="s">
        <v>81</v>
      </c>
      <c r="E299" t="e">
        <f>VLOOKUP(Tabela14[[#This Row],[ID_COD]],[1]!Tabela2[#Data],6,0)</f>
        <v>#N/A</v>
      </c>
      <c r="F299" t="s">
        <v>275</v>
      </c>
      <c r="G299" s="4">
        <v>14.3</v>
      </c>
    </row>
    <row r="300" spans="1:7" x14ac:dyDescent="0.25">
      <c r="B300" t="s">
        <v>362</v>
      </c>
      <c r="C300" t="s">
        <v>229</v>
      </c>
      <c r="D300" s="3" t="s">
        <v>81</v>
      </c>
      <c r="E300" t="e">
        <f>VLOOKUP(Tabela14[[#This Row],[ID_COD]],[1]!Tabela2[#Data],6,0)</f>
        <v>#N/A</v>
      </c>
      <c r="G300" s="4">
        <v>4.2699999999999996</v>
      </c>
    </row>
    <row r="301" spans="1:7" x14ac:dyDescent="0.25">
      <c r="A301">
        <v>1621</v>
      </c>
      <c r="B301" t="s">
        <v>363</v>
      </c>
      <c r="C301" t="s">
        <v>229</v>
      </c>
      <c r="D301" s="3" t="s">
        <v>81</v>
      </c>
      <c r="E301" t="e">
        <f>VLOOKUP(Tabela14[[#This Row],[ID_COD]],[1]!Tabela2[#Data],6,0)</f>
        <v>#N/A</v>
      </c>
      <c r="F301" t="s">
        <v>276</v>
      </c>
      <c r="G301" s="4">
        <v>4.6399999999999997</v>
      </c>
    </row>
    <row r="302" spans="1:7" x14ac:dyDescent="0.25">
      <c r="A302">
        <v>1622</v>
      </c>
      <c r="B302" t="s">
        <v>364</v>
      </c>
      <c r="C302" t="s">
        <v>229</v>
      </c>
      <c r="D302" s="3" t="s">
        <v>81</v>
      </c>
      <c r="E302" t="e">
        <f>VLOOKUP(Tabela14[[#This Row],[ID_COD]],[1]!Tabela2[#Data],6,0)</f>
        <v>#N/A</v>
      </c>
      <c r="F302" t="s">
        <v>277</v>
      </c>
      <c r="G302" s="4">
        <v>5.74</v>
      </c>
    </row>
    <row r="303" spans="1:7" x14ac:dyDescent="0.25">
      <c r="A303">
        <v>1623</v>
      </c>
      <c r="B303" t="s">
        <v>365</v>
      </c>
      <c r="C303" t="s">
        <v>229</v>
      </c>
      <c r="D303" s="3" t="s">
        <v>81</v>
      </c>
      <c r="E303" t="e">
        <f>VLOOKUP(Tabela14[[#This Row],[ID_COD]],[1]!Tabela2[#Data],6,0)</f>
        <v>#N/A</v>
      </c>
      <c r="F303" t="s">
        <v>278</v>
      </c>
      <c r="G303" s="4">
        <v>6.57</v>
      </c>
    </row>
    <row r="304" spans="1:7" x14ac:dyDescent="0.25">
      <c r="A304">
        <v>1624</v>
      </c>
      <c r="B304" t="s">
        <v>338</v>
      </c>
      <c r="C304" t="s">
        <v>229</v>
      </c>
      <c r="D304" s="3" t="s">
        <v>81</v>
      </c>
      <c r="E304" t="e">
        <f>VLOOKUP(Tabela14[[#This Row],[ID_COD]],[1]!Tabela2[#Data],6,0)</f>
        <v>#N/A</v>
      </c>
      <c r="F304" t="s">
        <v>279</v>
      </c>
      <c r="G304" s="4">
        <v>8.4499999999999993</v>
      </c>
    </row>
    <row r="305" spans="1:7" x14ac:dyDescent="0.25">
      <c r="B305" t="s">
        <v>339</v>
      </c>
      <c r="C305" t="s">
        <v>229</v>
      </c>
      <c r="D305" s="3" t="s">
        <v>81</v>
      </c>
      <c r="E305" t="e">
        <f>VLOOKUP(Tabela14[[#This Row],[ID_COD]],[1]!Tabela2[#Data],6,0)</f>
        <v>#N/A</v>
      </c>
      <c r="G305" s="4" t="e">
        <v>#N/A</v>
      </c>
    </row>
    <row r="306" spans="1:7" x14ac:dyDescent="0.25">
      <c r="A306">
        <v>1625</v>
      </c>
      <c r="B306" t="s">
        <v>340</v>
      </c>
      <c r="C306" t="s">
        <v>229</v>
      </c>
      <c r="D306" s="3" t="s">
        <v>81</v>
      </c>
      <c r="E306" t="e">
        <f>VLOOKUP(Tabela14[[#This Row],[ID_COD]],[1]!Tabela2[#Data],6,0)</f>
        <v>#N/A</v>
      </c>
      <c r="F306" t="s">
        <v>280</v>
      </c>
      <c r="G306" s="4">
        <v>12.58</v>
      </c>
    </row>
    <row r="307" spans="1:7" x14ac:dyDescent="0.25">
      <c r="B307" t="s">
        <v>341</v>
      </c>
      <c r="C307" t="s">
        <v>229</v>
      </c>
      <c r="D307" s="3" t="s">
        <v>81</v>
      </c>
      <c r="E307" t="e">
        <f>VLOOKUP(Tabela14[[#This Row],[ID_COD]],[1]!Tabela2[#Data],6,0)</f>
        <v>#N/A</v>
      </c>
      <c r="G307" s="4" t="e">
        <v>#N/A</v>
      </c>
    </row>
    <row r="308" spans="1:7" x14ac:dyDescent="0.25">
      <c r="A308">
        <v>1626</v>
      </c>
      <c r="B308" t="s">
        <v>342</v>
      </c>
      <c r="C308" t="s">
        <v>229</v>
      </c>
      <c r="D308" s="3" t="s">
        <v>81</v>
      </c>
      <c r="E308" t="e">
        <f>VLOOKUP(Tabela14[[#This Row],[ID_COD]],[1]!Tabela2[#Data],6,0)</f>
        <v>#N/A</v>
      </c>
      <c r="F308" t="s">
        <v>281</v>
      </c>
      <c r="G308" s="4">
        <v>6.41</v>
      </c>
    </row>
    <row r="309" spans="1:7" x14ac:dyDescent="0.25">
      <c r="A309">
        <v>1627</v>
      </c>
      <c r="B309" t="s">
        <v>343</v>
      </c>
      <c r="C309" t="s">
        <v>229</v>
      </c>
      <c r="D309" s="3" t="s">
        <v>81</v>
      </c>
      <c r="E309" t="e">
        <f>VLOOKUP(Tabela14[[#This Row],[ID_COD]],[1]!Tabela2[#Data],6,0)</f>
        <v>#N/A</v>
      </c>
      <c r="F309" t="s">
        <v>282</v>
      </c>
      <c r="G309" s="4">
        <v>7.92</v>
      </c>
    </row>
    <row r="310" spans="1:7" x14ac:dyDescent="0.25">
      <c r="A310">
        <v>1628</v>
      </c>
      <c r="B310" t="s">
        <v>344</v>
      </c>
      <c r="C310" t="s">
        <v>229</v>
      </c>
      <c r="D310" s="3" t="s">
        <v>81</v>
      </c>
      <c r="E310" t="e">
        <f>VLOOKUP(Tabela14[[#This Row],[ID_COD]],[1]!Tabela2[#Data],6,0)</f>
        <v>#N/A</v>
      </c>
      <c r="F310" t="s">
        <v>283</v>
      </c>
      <c r="G310" s="4">
        <v>9.3699999999999992</v>
      </c>
    </row>
    <row r="311" spans="1:7" x14ac:dyDescent="0.25">
      <c r="A311">
        <v>1629</v>
      </c>
      <c r="B311" t="s">
        <v>345</v>
      </c>
      <c r="C311" t="s">
        <v>229</v>
      </c>
      <c r="D311" s="3" t="s">
        <v>81</v>
      </c>
      <c r="E311" t="e">
        <f>VLOOKUP(Tabela14[[#This Row],[ID_COD]],[1]!Tabela2[#Data],6,0)</f>
        <v>#N/A</v>
      </c>
      <c r="F311" t="s">
        <v>284</v>
      </c>
      <c r="G311" s="4">
        <v>12.03</v>
      </c>
    </row>
    <row r="312" spans="1:7" x14ac:dyDescent="0.25">
      <c r="B312" t="s">
        <v>346</v>
      </c>
      <c r="C312" t="s">
        <v>229</v>
      </c>
      <c r="D312" s="3" t="s">
        <v>81</v>
      </c>
      <c r="E312" t="e">
        <f>VLOOKUP(Tabela14[[#This Row],[ID_COD]],[1]!Tabela2[#Data],6,0)</f>
        <v>#N/A</v>
      </c>
      <c r="G312" s="4" t="e">
        <v>#N/A</v>
      </c>
    </row>
    <row r="313" spans="1:7" x14ac:dyDescent="0.25">
      <c r="A313">
        <v>1630</v>
      </c>
      <c r="B313" t="s">
        <v>347</v>
      </c>
      <c r="C313" t="s">
        <v>229</v>
      </c>
      <c r="D313" s="3" t="s">
        <v>81</v>
      </c>
      <c r="E313" t="e">
        <f>VLOOKUP(Tabela14[[#This Row],[ID_COD]],[1]!Tabela2[#Data],6,0)</f>
        <v>#N/A</v>
      </c>
      <c r="F313" t="s">
        <v>285</v>
      </c>
      <c r="G313" s="4">
        <v>17.34</v>
      </c>
    </row>
    <row r="314" spans="1:7" x14ac:dyDescent="0.25">
      <c r="B314" t="s">
        <v>348</v>
      </c>
      <c r="C314" t="s">
        <v>240</v>
      </c>
      <c r="D314" s="3" t="s">
        <v>81</v>
      </c>
      <c r="E314" t="e">
        <f>VLOOKUP(Tabela14[[#This Row],[ID_COD]],[1]!Tabela2[#Data],6,0)</f>
        <v>#N/A</v>
      </c>
      <c r="G314">
        <v>3.66</v>
      </c>
    </row>
    <row r="315" spans="1:7" x14ac:dyDescent="0.25">
      <c r="A315">
        <v>414</v>
      </c>
      <c r="B315" t="s">
        <v>349</v>
      </c>
      <c r="C315" t="s">
        <v>240</v>
      </c>
      <c r="D315" s="3" t="s">
        <v>81</v>
      </c>
      <c r="E315">
        <f>VLOOKUP(Tabela14[[#This Row],[ID_COD]],[1]!Tabela2[#Data],6,0)</f>
        <v>110</v>
      </c>
      <c r="F315" t="s">
        <v>10</v>
      </c>
      <c r="G315" s="4">
        <v>3.85</v>
      </c>
    </row>
    <row r="316" spans="1:7" x14ac:dyDescent="0.25">
      <c r="A316">
        <v>476</v>
      </c>
      <c r="B316" t="s">
        <v>350</v>
      </c>
      <c r="C316" t="s">
        <v>240</v>
      </c>
      <c r="D316" s="3" t="s">
        <v>81</v>
      </c>
      <c r="E316">
        <f>VLOOKUP(Tabela14[[#This Row],[ID_COD]],[1]!Tabela2[#Data],6,0)</f>
        <v>86</v>
      </c>
      <c r="F316" t="s">
        <v>286</v>
      </c>
      <c r="G316">
        <v>4.91</v>
      </c>
    </row>
    <row r="317" spans="1:7" x14ac:dyDescent="0.25">
      <c r="A317">
        <v>419</v>
      </c>
      <c r="B317" t="s">
        <v>351</v>
      </c>
      <c r="C317" t="s">
        <v>240</v>
      </c>
      <c r="D317" s="3" t="s">
        <v>81</v>
      </c>
      <c r="E317">
        <f>VLOOKUP(Tabela14[[#This Row],[ID_COD]],[1]!Tabela2[#Data],6,0)</f>
        <v>70</v>
      </c>
      <c r="F317" t="s">
        <v>23</v>
      </c>
      <c r="G317" s="4">
        <v>5.47</v>
      </c>
    </row>
    <row r="318" spans="1:7" x14ac:dyDescent="0.25">
      <c r="A318">
        <v>423</v>
      </c>
      <c r="B318" t="s">
        <v>352</v>
      </c>
      <c r="C318" t="s">
        <v>240</v>
      </c>
      <c r="D318" s="3" t="s">
        <v>81</v>
      </c>
      <c r="E318">
        <f>VLOOKUP(Tabela14[[#This Row],[ID_COD]],[1]!Tabela2[#Data],6,0)</f>
        <v>52</v>
      </c>
      <c r="F318" t="s">
        <v>31</v>
      </c>
      <c r="G318" s="4">
        <v>7.03</v>
      </c>
    </row>
    <row r="319" spans="1:7" x14ac:dyDescent="0.25">
      <c r="B319" t="s">
        <v>353</v>
      </c>
      <c r="C319" t="s">
        <v>240</v>
      </c>
      <c r="D319" s="3" t="s">
        <v>81</v>
      </c>
      <c r="E319" t="e">
        <f>VLOOKUP(Tabela14[[#This Row],[ID_COD]],[1]!Tabela2[#Data],6,0)</f>
        <v>#N/A</v>
      </c>
      <c r="G319" s="4" t="e">
        <v>#N/A</v>
      </c>
    </row>
    <row r="320" spans="1:7" x14ac:dyDescent="0.25">
      <c r="A320">
        <v>427</v>
      </c>
      <c r="B320" t="s">
        <v>354</v>
      </c>
      <c r="C320" t="s">
        <v>240</v>
      </c>
      <c r="D320" s="3" t="s">
        <v>81</v>
      </c>
      <c r="E320">
        <f>VLOOKUP(Tabela14[[#This Row],[ID_COD]],[1]!Tabela2[#Data],6,0)</f>
        <v>42</v>
      </c>
      <c r="F320" t="s">
        <v>36</v>
      </c>
      <c r="G320">
        <v>10.74</v>
      </c>
    </row>
    <row r="321" spans="1:7" x14ac:dyDescent="0.25">
      <c r="B321" t="s">
        <v>355</v>
      </c>
      <c r="C321" t="s">
        <v>240</v>
      </c>
      <c r="D321" s="3" t="s">
        <v>81</v>
      </c>
      <c r="E321" t="e">
        <f>VLOOKUP(Tabela14[[#This Row],[ID_COD]],[1]!Tabela2[#Data],6,0)</f>
        <v>#N/A</v>
      </c>
      <c r="G321" s="4" t="e">
        <v>#N/A</v>
      </c>
    </row>
    <row r="322" spans="1:7" x14ac:dyDescent="0.25">
      <c r="A322">
        <v>417</v>
      </c>
      <c r="B322" t="s">
        <v>356</v>
      </c>
      <c r="C322" t="s">
        <v>240</v>
      </c>
      <c r="D322" s="3" t="s">
        <v>81</v>
      </c>
      <c r="E322">
        <f>VLOOKUP(Tabela14[[#This Row],[ID_COD]],[1]!Tabela2[#Data],6,0)</f>
        <v>86</v>
      </c>
      <c r="F322" t="s">
        <v>16</v>
      </c>
      <c r="G322" s="4">
        <v>5.38</v>
      </c>
    </row>
    <row r="323" spans="1:7" x14ac:dyDescent="0.25">
      <c r="A323">
        <v>474</v>
      </c>
      <c r="B323" t="s">
        <v>357</v>
      </c>
      <c r="C323" t="s">
        <v>240</v>
      </c>
      <c r="D323" s="3" t="s">
        <v>81</v>
      </c>
      <c r="E323">
        <f>VLOOKUP(Tabela14[[#This Row],[ID_COD]],[1]!Tabela2[#Data],6,0)</f>
        <v>70</v>
      </c>
      <c r="F323" t="s">
        <v>21</v>
      </c>
      <c r="G323" s="4">
        <v>6.78</v>
      </c>
    </row>
    <row r="324" spans="1:7" x14ac:dyDescent="0.25">
      <c r="A324">
        <v>421</v>
      </c>
      <c r="B324" t="s">
        <v>358</v>
      </c>
      <c r="C324" t="s">
        <v>240</v>
      </c>
      <c r="D324" s="3" t="s">
        <v>81</v>
      </c>
      <c r="E324">
        <f>VLOOKUP(Tabela14[[#This Row],[ID_COD]],[1]!Tabela2[#Data],6,0)</f>
        <v>60</v>
      </c>
      <c r="F324" t="s">
        <v>28</v>
      </c>
      <c r="G324" s="4">
        <v>7.94</v>
      </c>
    </row>
    <row r="325" spans="1:7" x14ac:dyDescent="0.25">
      <c r="A325">
        <v>425</v>
      </c>
      <c r="B325" t="s">
        <v>359</v>
      </c>
      <c r="C325" t="s">
        <v>240</v>
      </c>
      <c r="D325" s="3" t="s">
        <v>81</v>
      </c>
      <c r="E325">
        <f>VLOOKUP(Tabela14[[#This Row],[ID_COD]],[1]!Tabela2[#Data],6,0)</f>
        <v>44</v>
      </c>
      <c r="F325" t="s">
        <v>34</v>
      </c>
      <c r="G325" s="4">
        <v>10.3</v>
      </c>
    </row>
    <row r="326" spans="1:7" x14ac:dyDescent="0.25">
      <c r="B326" t="s">
        <v>360</v>
      </c>
      <c r="C326" t="s">
        <v>240</v>
      </c>
      <c r="D326" s="3" t="s">
        <v>81</v>
      </c>
      <c r="E326" t="e">
        <f>VLOOKUP(Tabela14[[#This Row],[ID_COD]],[1]!Tabela2[#Data],6,0)</f>
        <v>#N/A</v>
      </c>
      <c r="G326" s="4" t="e">
        <v>#N/A</v>
      </c>
    </row>
    <row r="327" spans="1:7" x14ac:dyDescent="0.25">
      <c r="A327">
        <v>429</v>
      </c>
      <c r="B327" t="s">
        <v>361</v>
      </c>
      <c r="C327" t="s">
        <v>240</v>
      </c>
      <c r="D327" s="3" t="s">
        <v>81</v>
      </c>
      <c r="E327">
        <f>VLOOKUP(Tabela14[[#This Row],[ID_COD]],[1]!Tabela2[#Data],6,0)</f>
        <v>28</v>
      </c>
      <c r="F327" t="s">
        <v>287</v>
      </c>
      <c r="G327">
        <v>14.74</v>
      </c>
    </row>
    <row r="328" spans="1:7" x14ac:dyDescent="0.25">
      <c r="B328" t="s">
        <v>362</v>
      </c>
      <c r="C328" t="s">
        <v>242</v>
      </c>
      <c r="D328" s="3" t="s">
        <v>81</v>
      </c>
      <c r="E328" t="e">
        <f>VLOOKUP(Tabela14[[#This Row],[ID_COD]],[1]!Tabela2[#Data],6,0)</f>
        <v>#N/A</v>
      </c>
      <c r="G328" s="4">
        <v>4.2699999999999996</v>
      </c>
    </row>
    <row r="329" spans="1:7" x14ac:dyDescent="0.25">
      <c r="A329">
        <v>416</v>
      </c>
      <c r="B329" t="s">
        <v>363</v>
      </c>
      <c r="C329" t="s">
        <v>242</v>
      </c>
      <c r="D329" s="3" t="s">
        <v>81</v>
      </c>
      <c r="E329">
        <f>VLOOKUP(Tabela14[[#This Row],[ID_COD]],[1]!Tabela2[#Data],6,0)</f>
        <v>100</v>
      </c>
      <c r="F329" t="s">
        <v>12</v>
      </c>
      <c r="G329" s="4">
        <v>4.6399999999999997</v>
      </c>
    </row>
    <row r="330" spans="1:7" x14ac:dyDescent="0.25">
      <c r="A330">
        <v>477</v>
      </c>
      <c r="B330" t="s">
        <v>364</v>
      </c>
      <c r="C330" t="s">
        <v>242</v>
      </c>
      <c r="D330" s="3" t="s">
        <v>81</v>
      </c>
      <c r="E330">
        <f>VLOOKUP(Tabela14[[#This Row],[ID_COD]],[1]!Tabela2[#Data],6,0)</f>
        <v>0</v>
      </c>
      <c r="F330" t="s">
        <v>19</v>
      </c>
      <c r="G330" s="4">
        <v>5.74</v>
      </c>
    </row>
    <row r="331" spans="1:7" x14ac:dyDescent="0.25">
      <c r="A331">
        <v>420</v>
      </c>
      <c r="B331" t="s">
        <v>365</v>
      </c>
      <c r="C331" t="s">
        <v>242</v>
      </c>
      <c r="D331" s="3" t="s">
        <v>81</v>
      </c>
      <c r="E331">
        <f>VLOOKUP(Tabela14[[#This Row],[ID_COD]],[1]!Tabela2[#Data],6,0)</f>
        <v>66</v>
      </c>
      <c r="F331" t="s">
        <v>27</v>
      </c>
      <c r="G331" s="4">
        <v>6.57</v>
      </c>
    </row>
    <row r="332" spans="1:7" x14ac:dyDescent="0.25">
      <c r="A332">
        <v>424</v>
      </c>
      <c r="B332" t="s">
        <v>338</v>
      </c>
      <c r="C332" t="s">
        <v>242</v>
      </c>
      <c r="D332" s="3" t="s">
        <v>81</v>
      </c>
      <c r="E332">
        <f>VLOOKUP(Tabela14[[#This Row],[ID_COD]],[1]!Tabela2[#Data],6,0)</f>
        <v>48</v>
      </c>
      <c r="F332" t="s">
        <v>32</v>
      </c>
      <c r="G332" s="4">
        <v>8.4499999999999993</v>
      </c>
    </row>
    <row r="333" spans="1:7" x14ac:dyDescent="0.25">
      <c r="B333" t="s">
        <v>339</v>
      </c>
      <c r="C333" t="s">
        <v>242</v>
      </c>
      <c r="D333" s="3" t="s">
        <v>81</v>
      </c>
      <c r="E333" t="e">
        <f>VLOOKUP(Tabela14[[#This Row],[ID_COD]],[1]!Tabela2[#Data],6,0)</f>
        <v>#N/A</v>
      </c>
      <c r="G333" s="4" t="e">
        <v>#N/A</v>
      </c>
    </row>
    <row r="334" spans="1:7" x14ac:dyDescent="0.25">
      <c r="A334">
        <v>428</v>
      </c>
      <c r="B334" t="s">
        <v>340</v>
      </c>
      <c r="C334" t="s">
        <v>242</v>
      </c>
      <c r="D334" s="3" t="s">
        <v>81</v>
      </c>
      <c r="E334">
        <f>VLOOKUP(Tabela14[[#This Row],[ID_COD]],[1]!Tabela2[#Data],6,0)</f>
        <v>32</v>
      </c>
      <c r="F334" t="s">
        <v>37</v>
      </c>
      <c r="G334" s="4">
        <v>12.58</v>
      </c>
    </row>
    <row r="335" spans="1:7" x14ac:dyDescent="0.25">
      <c r="B335" t="s">
        <v>341</v>
      </c>
      <c r="C335" t="s">
        <v>242</v>
      </c>
      <c r="D335" s="3" t="s">
        <v>81</v>
      </c>
      <c r="E335" t="e">
        <f>VLOOKUP(Tabela14[[#This Row],[ID_COD]],[1]!Tabela2[#Data],6,0)</f>
        <v>#N/A</v>
      </c>
      <c r="G335" s="4" t="e">
        <v>#N/A</v>
      </c>
    </row>
    <row r="336" spans="1:7" x14ac:dyDescent="0.25">
      <c r="A336">
        <v>418</v>
      </c>
      <c r="B336" t="s">
        <v>342</v>
      </c>
      <c r="C336" t="s">
        <v>242</v>
      </c>
      <c r="D336" s="3" t="s">
        <v>81</v>
      </c>
      <c r="E336">
        <f>VLOOKUP(Tabela14[[#This Row],[ID_COD]],[1]!Tabela2[#Data],6,0)</f>
        <v>0</v>
      </c>
      <c r="F336" t="s">
        <v>288</v>
      </c>
      <c r="G336" s="4">
        <v>6.41</v>
      </c>
    </row>
    <row r="337" spans="1:7" x14ac:dyDescent="0.25">
      <c r="A337">
        <v>475</v>
      </c>
      <c r="B337" t="s">
        <v>343</v>
      </c>
      <c r="C337" t="s">
        <v>242</v>
      </c>
      <c r="D337" s="3" t="s">
        <v>81</v>
      </c>
      <c r="E337">
        <f>VLOOKUP(Tabela14[[#This Row],[ID_COD]],[1]!Tabela2[#Data],6,0)</f>
        <v>0</v>
      </c>
      <c r="F337" t="s">
        <v>289</v>
      </c>
      <c r="G337" s="4">
        <v>7.92</v>
      </c>
    </row>
    <row r="338" spans="1:7" x14ac:dyDescent="0.25">
      <c r="A338">
        <v>422</v>
      </c>
      <c r="B338" t="s">
        <v>344</v>
      </c>
      <c r="C338" t="s">
        <v>242</v>
      </c>
      <c r="D338" s="3" t="s">
        <v>81</v>
      </c>
      <c r="E338">
        <f>VLOOKUP(Tabela14[[#This Row],[ID_COD]],[1]!Tabela2[#Data],6,0)</f>
        <v>0</v>
      </c>
      <c r="F338" t="s">
        <v>290</v>
      </c>
      <c r="G338" s="4">
        <v>9.3699999999999992</v>
      </c>
    </row>
    <row r="339" spans="1:7" x14ac:dyDescent="0.25">
      <c r="A339">
        <v>426</v>
      </c>
      <c r="B339" t="s">
        <v>345</v>
      </c>
      <c r="C339" t="s">
        <v>242</v>
      </c>
      <c r="D339" s="3" t="s">
        <v>81</v>
      </c>
      <c r="E339">
        <f>VLOOKUP(Tabela14[[#This Row],[ID_COD]],[1]!Tabela2[#Data],6,0)</f>
        <v>0</v>
      </c>
      <c r="F339" t="s">
        <v>291</v>
      </c>
      <c r="G339" s="4">
        <v>12.03</v>
      </c>
    </row>
    <row r="340" spans="1:7" x14ac:dyDescent="0.25">
      <c r="B340" t="s">
        <v>346</v>
      </c>
      <c r="C340" t="s">
        <v>242</v>
      </c>
      <c r="D340" s="3" t="s">
        <v>81</v>
      </c>
      <c r="E340" t="e">
        <f>VLOOKUP(Tabela14[[#This Row],[ID_COD]],[1]!Tabela2[#Data],6,0)</f>
        <v>#N/A</v>
      </c>
      <c r="G340" s="4" t="e">
        <v>#N/A</v>
      </c>
    </row>
    <row r="341" spans="1:7" x14ac:dyDescent="0.25">
      <c r="A341">
        <v>430</v>
      </c>
      <c r="B341" t="s">
        <v>347</v>
      </c>
      <c r="C341" t="s">
        <v>242</v>
      </c>
      <c r="D341" s="3" t="s">
        <v>81</v>
      </c>
      <c r="E341">
        <f>VLOOKUP(Tabela14[[#This Row],[ID_COD]],[1]!Tabela2[#Data],6,0)</f>
        <v>0</v>
      </c>
      <c r="F341" t="s">
        <v>292</v>
      </c>
      <c r="G341" s="4">
        <v>17.34</v>
      </c>
    </row>
    <row r="342" spans="1:7" x14ac:dyDescent="0.25">
      <c r="B342" t="s">
        <v>348</v>
      </c>
      <c r="C342" t="s">
        <v>249</v>
      </c>
      <c r="D342" s="3" t="s">
        <v>81</v>
      </c>
      <c r="E342" t="e">
        <f>VLOOKUP(Tabela14[[#This Row],[ID_COD]],[1]!Tabela2[#Data],6,0)</f>
        <v>#N/A</v>
      </c>
      <c r="G342" s="4">
        <v>3.66</v>
      </c>
    </row>
    <row r="343" spans="1:7" x14ac:dyDescent="0.25">
      <c r="A343">
        <v>1666</v>
      </c>
      <c r="B343" t="s">
        <v>349</v>
      </c>
      <c r="C343" t="s">
        <v>249</v>
      </c>
      <c r="D343" s="3" t="s">
        <v>81</v>
      </c>
      <c r="E343" t="e">
        <f>VLOOKUP(Tabela14[[#This Row],[ID_COD]],[1]!Tabela2[#Data],6,0)</f>
        <v>#N/A</v>
      </c>
      <c r="F343" t="s">
        <v>261</v>
      </c>
      <c r="G343" s="4">
        <v>3.97</v>
      </c>
    </row>
    <row r="344" spans="1:7" x14ac:dyDescent="0.25">
      <c r="A344">
        <v>1667</v>
      </c>
      <c r="B344" t="s">
        <v>350</v>
      </c>
      <c r="C344" t="s">
        <v>249</v>
      </c>
      <c r="D344" s="3" t="s">
        <v>81</v>
      </c>
      <c r="E344" t="e">
        <f>VLOOKUP(Tabela14[[#This Row],[ID_COD]],[1]!Tabela2[#Data],6,0)</f>
        <v>#N/A</v>
      </c>
      <c r="F344" t="s">
        <v>293</v>
      </c>
      <c r="G344" s="4">
        <v>4.91</v>
      </c>
    </row>
    <row r="345" spans="1:7" x14ac:dyDescent="0.25">
      <c r="A345">
        <v>1668</v>
      </c>
      <c r="B345" t="s">
        <v>351</v>
      </c>
      <c r="C345" t="s">
        <v>249</v>
      </c>
      <c r="D345" s="3" t="s">
        <v>81</v>
      </c>
      <c r="E345" t="e">
        <f>VLOOKUP(Tabela14[[#This Row],[ID_COD]],[1]!Tabela2[#Data],6,0)</f>
        <v>#N/A</v>
      </c>
      <c r="F345" t="s">
        <v>252</v>
      </c>
      <c r="G345" s="4">
        <v>5.63</v>
      </c>
    </row>
    <row r="346" spans="1:7" x14ac:dyDescent="0.25">
      <c r="A346">
        <v>1669</v>
      </c>
      <c r="B346" t="s">
        <v>352</v>
      </c>
      <c r="C346" t="s">
        <v>249</v>
      </c>
      <c r="D346" s="3" t="s">
        <v>81</v>
      </c>
      <c r="E346" t="e">
        <f>VLOOKUP(Tabela14[[#This Row],[ID_COD]],[1]!Tabela2[#Data],6,0)</f>
        <v>#N/A</v>
      </c>
      <c r="F346" t="s">
        <v>262</v>
      </c>
      <c r="G346" s="4">
        <v>7.25</v>
      </c>
    </row>
    <row r="347" spans="1:7" x14ac:dyDescent="0.25">
      <c r="B347" t="s">
        <v>353</v>
      </c>
      <c r="C347" t="s">
        <v>249</v>
      </c>
      <c r="D347" s="3" t="s">
        <v>81</v>
      </c>
      <c r="E347" t="e">
        <f>VLOOKUP(Tabela14[[#This Row],[ID_COD]],[1]!Tabela2[#Data],6,0)</f>
        <v>#N/A</v>
      </c>
      <c r="G347" s="4" t="e">
        <v>#N/A</v>
      </c>
    </row>
    <row r="348" spans="1:7" x14ac:dyDescent="0.25">
      <c r="A348">
        <v>1670</v>
      </c>
      <c r="B348" t="s">
        <v>354</v>
      </c>
      <c r="C348" t="s">
        <v>249</v>
      </c>
      <c r="D348" s="3" t="s">
        <v>81</v>
      </c>
      <c r="E348" t="e">
        <f>VLOOKUP(Tabela14[[#This Row],[ID_COD]],[1]!Tabela2[#Data],6,0)</f>
        <v>#N/A</v>
      </c>
      <c r="F348" t="s">
        <v>254</v>
      </c>
      <c r="G348" s="4">
        <v>10.74</v>
      </c>
    </row>
    <row r="349" spans="1:7" x14ac:dyDescent="0.25">
      <c r="B349" t="s">
        <v>355</v>
      </c>
      <c r="C349" t="s">
        <v>249</v>
      </c>
      <c r="D349" s="3" t="s">
        <v>81</v>
      </c>
      <c r="E349" t="e">
        <f>VLOOKUP(Tabela14[[#This Row],[ID_COD]],[1]!Tabela2[#Data],6,0)</f>
        <v>#N/A</v>
      </c>
      <c r="G349" s="4" t="e">
        <v>#N/A</v>
      </c>
    </row>
    <row r="350" spans="1:7" x14ac:dyDescent="0.25">
      <c r="A350">
        <v>1671</v>
      </c>
      <c r="B350" t="s">
        <v>356</v>
      </c>
      <c r="C350" t="s">
        <v>249</v>
      </c>
      <c r="D350" s="3" t="s">
        <v>81</v>
      </c>
      <c r="E350" t="e">
        <f>VLOOKUP(Tabela14[[#This Row],[ID_COD]],[1]!Tabela2[#Data],6,0)</f>
        <v>#N/A</v>
      </c>
      <c r="F350" t="s">
        <v>255</v>
      </c>
      <c r="G350" s="4">
        <v>5.38</v>
      </c>
    </row>
    <row r="351" spans="1:7" x14ac:dyDescent="0.25">
      <c r="A351">
        <v>1672</v>
      </c>
      <c r="B351" t="s">
        <v>357</v>
      </c>
      <c r="C351" t="s">
        <v>249</v>
      </c>
      <c r="D351" s="3" t="s">
        <v>81</v>
      </c>
      <c r="E351" t="e">
        <f>VLOOKUP(Tabela14[[#This Row],[ID_COD]],[1]!Tabela2[#Data],6,0)</f>
        <v>#N/A</v>
      </c>
      <c r="F351" t="s">
        <v>263</v>
      </c>
      <c r="G351" s="4">
        <v>6.78</v>
      </c>
    </row>
    <row r="352" spans="1:7" x14ac:dyDescent="0.25">
      <c r="A352">
        <v>1673</v>
      </c>
      <c r="B352" t="s">
        <v>358</v>
      </c>
      <c r="C352" t="s">
        <v>249</v>
      </c>
      <c r="D352" s="3" t="s">
        <v>81</v>
      </c>
      <c r="E352" t="e">
        <f>VLOOKUP(Tabela14[[#This Row],[ID_COD]],[1]!Tabela2[#Data],6,0)</f>
        <v>#N/A</v>
      </c>
      <c r="F352" t="s">
        <v>294</v>
      </c>
      <c r="G352" s="4">
        <v>7.94</v>
      </c>
    </row>
    <row r="353" spans="1:7" x14ac:dyDescent="0.25">
      <c r="A353">
        <v>1674</v>
      </c>
      <c r="B353" t="s">
        <v>359</v>
      </c>
      <c r="C353" t="s">
        <v>249</v>
      </c>
      <c r="D353" s="3" t="s">
        <v>81</v>
      </c>
      <c r="E353" t="e">
        <f>VLOOKUP(Tabela14[[#This Row],[ID_COD]],[1]!Tabela2[#Data],6,0)</f>
        <v>#N/A</v>
      </c>
      <c r="F353" t="s">
        <v>257</v>
      </c>
      <c r="G353" s="4">
        <v>10.3</v>
      </c>
    </row>
    <row r="354" spans="1:7" x14ac:dyDescent="0.25">
      <c r="B354" t="s">
        <v>360</v>
      </c>
      <c r="C354" t="s">
        <v>249</v>
      </c>
      <c r="D354" s="3" t="s">
        <v>81</v>
      </c>
      <c r="E354" t="e">
        <f>VLOOKUP(Tabela14[[#This Row],[ID_COD]],[1]!Tabela2[#Data],6,0)</f>
        <v>#N/A</v>
      </c>
      <c r="G354" s="4" t="e">
        <v>#N/A</v>
      </c>
    </row>
    <row r="355" spans="1:7" x14ac:dyDescent="0.25">
      <c r="A355">
        <v>1675</v>
      </c>
      <c r="B355" t="s">
        <v>361</v>
      </c>
      <c r="C355" t="s">
        <v>249</v>
      </c>
      <c r="D355" s="3" t="s">
        <v>81</v>
      </c>
      <c r="E355" t="e">
        <f>VLOOKUP(Tabela14[[#This Row],[ID_COD]],[1]!Tabela2[#Data],6,0)</f>
        <v>#N/A</v>
      </c>
      <c r="F355" t="s">
        <v>258</v>
      </c>
      <c r="G355" s="4">
        <v>14.74</v>
      </c>
    </row>
    <row r="356" spans="1:7" x14ac:dyDescent="0.25">
      <c r="B356" t="s">
        <v>362</v>
      </c>
      <c r="C356" t="s">
        <v>259</v>
      </c>
      <c r="D356" s="3" t="s">
        <v>81</v>
      </c>
      <c r="E356" t="e">
        <f>VLOOKUP(Tabela14[[#This Row],[ID_COD]],[1]!Tabela2[#Data],6,0)</f>
        <v>#N/A</v>
      </c>
      <c r="G356" s="4">
        <v>4.2699999999999996</v>
      </c>
    </row>
    <row r="357" spans="1:7" x14ac:dyDescent="0.25">
      <c r="A357">
        <v>1676</v>
      </c>
      <c r="B357" t="s">
        <v>363</v>
      </c>
      <c r="C357" t="s">
        <v>259</v>
      </c>
      <c r="D357" s="3" t="s">
        <v>81</v>
      </c>
      <c r="E357" t="e">
        <f>VLOOKUP(Tabela14[[#This Row],[ID_COD]],[1]!Tabela2[#Data],6,0)</f>
        <v>#N/A</v>
      </c>
      <c r="F357" t="s">
        <v>250</v>
      </c>
      <c r="G357" s="4">
        <v>4.6399999999999997</v>
      </c>
    </row>
    <row r="358" spans="1:7" x14ac:dyDescent="0.25">
      <c r="A358">
        <v>1677</v>
      </c>
      <c r="B358" t="s">
        <v>364</v>
      </c>
      <c r="C358" t="s">
        <v>259</v>
      </c>
      <c r="D358" s="3" t="s">
        <v>81</v>
      </c>
      <c r="E358" t="e">
        <f>VLOOKUP(Tabela14[[#This Row],[ID_COD]],[1]!Tabela2[#Data],6,0)</f>
        <v>#N/A</v>
      </c>
      <c r="F358" t="s">
        <v>251</v>
      </c>
      <c r="G358" s="4">
        <v>5.74</v>
      </c>
    </row>
    <row r="359" spans="1:7" x14ac:dyDescent="0.25">
      <c r="A359">
        <v>1678</v>
      </c>
      <c r="B359" t="s">
        <v>365</v>
      </c>
      <c r="C359" t="s">
        <v>259</v>
      </c>
      <c r="D359" s="3" t="s">
        <v>81</v>
      </c>
      <c r="E359" t="e">
        <f>VLOOKUP(Tabela14[[#This Row],[ID_COD]],[1]!Tabela2[#Data],6,0)</f>
        <v>#N/A</v>
      </c>
      <c r="F359" t="s">
        <v>295</v>
      </c>
      <c r="G359" s="4">
        <v>6.57</v>
      </c>
    </row>
    <row r="360" spans="1:7" x14ac:dyDescent="0.25">
      <c r="A360">
        <v>1679</v>
      </c>
      <c r="B360" t="s">
        <v>338</v>
      </c>
      <c r="C360" t="s">
        <v>259</v>
      </c>
      <c r="D360" s="3" t="s">
        <v>81</v>
      </c>
      <c r="E360" t="e">
        <f>VLOOKUP(Tabela14[[#This Row],[ID_COD]],[1]!Tabela2[#Data],6,0)</f>
        <v>#N/A</v>
      </c>
      <c r="F360" t="s">
        <v>262</v>
      </c>
      <c r="G360" s="4">
        <v>8.4499999999999993</v>
      </c>
    </row>
    <row r="361" spans="1:7" x14ac:dyDescent="0.25">
      <c r="B361" t="s">
        <v>339</v>
      </c>
      <c r="C361" t="s">
        <v>259</v>
      </c>
      <c r="D361" s="3" t="s">
        <v>81</v>
      </c>
      <c r="E361" t="e">
        <f>VLOOKUP(Tabela14[[#This Row],[ID_COD]],[1]!Tabela2[#Data],6,0)</f>
        <v>#N/A</v>
      </c>
      <c r="G361" s="4" t="e">
        <v>#N/A</v>
      </c>
    </row>
    <row r="362" spans="1:7" x14ac:dyDescent="0.25">
      <c r="A362">
        <v>1680</v>
      </c>
      <c r="B362" t="s">
        <v>340</v>
      </c>
      <c r="C362" t="s">
        <v>259</v>
      </c>
      <c r="D362" s="3" t="s">
        <v>81</v>
      </c>
      <c r="E362" t="e">
        <f>VLOOKUP(Tabela14[[#This Row],[ID_COD]],[1]!Tabela2[#Data],6,0)</f>
        <v>#N/A</v>
      </c>
      <c r="F362" t="s">
        <v>254</v>
      </c>
      <c r="G362" s="4">
        <v>12.58</v>
      </c>
    </row>
    <row r="363" spans="1:7" x14ac:dyDescent="0.25">
      <c r="B363" t="s">
        <v>341</v>
      </c>
      <c r="C363" t="s">
        <v>259</v>
      </c>
      <c r="D363" s="3" t="s">
        <v>81</v>
      </c>
      <c r="E363" t="e">
        <f>VLOOKUP(Tabela14[[#This Row],[ID_COD]],[1]!Tabela2[#Data],6,0)</f>
        <v>#N/A</v>
      </c>
      <c r="G363" s="4" t="e">
        <v>#N/A</v>
      </c>
    </row>
    <row r="364" spans="1:7" x14ac:dyDescent="0.25">
      <c r="A364">
        <v>1681</v>
      </c>
      <c r="B364" t="s">
        <v>342</v>
      </c>
      <c r="C364" t="s">
        <v>259</v>
      </c>
      <c r="D364" s="3" t="s">
        <v>81</v>
      </c>
      <c r="E364" t="e">
        <f>VLOOKUP(Tabela14[[#This Row],[ID_COD]],[1]!Tabela2[#Data],6,0)</f>
        <v>#N/A</v>
      </c>
      <c r="F364" t="s">
        <v>13</v>
      </c>
      <c r="G364" s="4">
        <v>6.41</v>
      </c>
    </row>
    <row r="365" spans="1:7" x14ac:dyDescent="0.25">
      <c r="A365">
        <v>1682</v>
      </c>
      <c r="B365" t="s">
        <v>343</v>
      </c>
      <c r="C365" t="s">
        <v>259</v>
      </c>
      <c r="D365" s="3" t="s">
        <v>81</v>
      </c>
      <c r="E365" t="e">
        <f>VLOOKUP(Tabela14[[#This Row],[ID_COD]],[1]!Tabela2[#Data],6,0)</f>
        <v>#N/A</v>
      </c>
      <c r="F365" t="s">
        <v>20</v>
      </c>
      <c r="G365" s="4">
        <v>7.92</v>
      </c>
    </row>
    <row r="366" spans="1:7" x14ac:dyDescent="0.25">
      <c r="A366">
        <v>1683</v>
      </c>
      <c r="B366" t="s">
        <v>344</v>
      </c>
      <c r="C366" t="s">
        <v>259</v>
      </c>
      <c r="D366" s="3" t="s">
        <v>81</v>
      </c>
      <c r="E366" t="e">
        <f>VLOOKUP(Tabela14[[#This Row],[ID_COD]],[1]!Tabela2[#Data],6,0)</f>
        <v>#N/A</v>
      </c>
      <c r="F366" t="s">
        <v>256</v>
      </c>
      <c r="G366" s="4">
        <v>9.3699999999999992</v>
      </c>
    </row>
    <row r="367" spans="1:7" x14ac:dyDescent="0.25">
      <c r="A367">
        <v>1684</v>
      </c>
      <c r="B367" t="s">
        <v>345</v>
      </c>
      <c r="C367" t="s">
        <v>259</v>
      </c>
      <c r="D367" s="3" t="s">
        <v>81</v>
      </c>
      <c r="E367" t="e">
        <f>VLOOKUP(Tabela14[[#This Row],[ID_COD]],[1]!Tabela2[#Data],6,0)</f>
        <v>#N/A</v>
      </c>
      <c r="F367" t="s">
        <v>257</v>
      </c>
      <c r="G367" s="4">
        <v>12.03</v>
      </c>
    </row>
    <row r="368" spans="1:7" x14ac:dyDescent="0.25">
      <c r="B368" t="s">
        <v>346</v>
      </c>
      <c r="C368" t="s">
        <v>259</v>
      </c>
      <c r="D368" s="3" t="s">
        <v>81</v>
      </c>
      <c r="E368" t="e">
        <f>VLOOKUP(Tabela14[[#This Row],[ID_COD]],[1]!Tabela2[#Data],6,0)</f>
        <v>#N/A</v>
      </c>
      <c r="G368" s="4" t="e">
        <v>#N/A</v>
      </c>
    </row>
    <row r="369" spans="1:7" x14ac:dyDescent="0.25">
      <c r="A369">
        <v>1685</v>
      </c>
      <c r="B369" t="s">
        <v>347</v>
      </c>
      <c r="C369" t="s">
        <v>259</v>
      </c>
      <c r="D369" s="3" t="s">
        <v>81</v>
      </c>
      <c r="E369" t="e">
        <f>VLOOKUP(Tabela14[[#This Row],[ID_COD]],[1]!Tabela2[#Data],6,0)</f>
        <v>#N/A</v>
      </c>
      <c r="F369" t="s">
        <v>258</v>
      </c>
      <c r="G369" s="4">
        <v>17.34</v>
      </c>
    </row>
    <row r="370" spans="1:7" x14ac:dyDescent="0.25">
      <c r="A370">
        <v>4</v>
      </c>
      <c r="B370" t="s">
        <v>372</v>
      </c>
      <c r="C370" t="s">
        <v>296</v>
      </c>
      <c r="D370" s="3" t="s">
        <v>81</v>
      </c>
      <c r="E370">
        <f>VLOOKUP(Tabela14[[#This Row],[ID_COD]],[1]!Tabela2[#Data],6,0)</f>
        <v>1000</v>
      </c>
      <c r="F370" t="s">
        <v>297</v>
      </c>
      <c r="G370" s="4" t="e">
        <v>#N/A</v>
      </c>
    </row>
    <row r="371" spans="1:7" x14ac:dyDescent="0.25">
      <c r="A371">
        <v>731</v>
      </c>
      <c r="B371" t="s">
        <v>373</v>
      </c>
      <c r="C371" t="s">
        <v>298</v>
      </c>
      <c r="D371" s="3" t="s">
        <v>81</v>
      </c>
      <c r="E371">
        <f>VLOOKUP(Tabela14[[#This Row],[ID_COD]],[1]!Tabela2[#Data],6,0)</f>
        <v>1000</v>
      </c>
      <c r="F371" t="s">
        <v>299</v>
      </c>
      <c r="G371" s="4" t="e">
        <v>#N/A</v>
      </c>
    </row>
    <row r="372" spans="1:7" x14ac:dyDescent="0.25">
      <c r="A372">
        <v>730</v>
      </c>
      <c r="B372" t="s">
        <v>374</v>
      </c>
      <c r="C372" t="s">
        <v>300</v>
      </c>
      <c r="D372" s="3" t="s">
        <v>81</v>
      </c>
      <c r="E372">
        <f>VLOOKUP(Tabela14[[#This Row],[ID_COD]],[1]!Tabela2[#Data],6,0)</f>
        <v>900</v>
      </c>
      <c r="F372" t="s">
        <v>301</v>
      </c>
      <c r="G372" s="4" t="e">
        <v>#N/A</v>
      </c>
    </row>
    <row r="373" spans="1:7" x14ac:dyDescent="0.25">
      <c r="A373">
        <v>495</v>
      </c>
      <c r="B373" t="s">
        <v>375</v>
      </c>
      <c r="C373" t="s">
        <v>82</v>
      </c>
      <c r="E373" t="e">
        <f>VLOOKUP(Tabela14[[#This Row],[ID_COD]],[1]!Tabela2[#Data],6,0)</f>
        <v>#N/A</v>
      </c>
      <c r="F373" t="s">
        <v>302</v>
      </c>
      <c r="G373" s="4">
        <v>40</v>
      </c>
    </row>
    <row r="374" spans="1:7" x14ac:dyDescent="0.25">
      <c r="A374">
        <v>2019</v>
      </c>
      <c r="B374" t="s">
        <v>376</v>
      </c>
      <c r="C374" t="s">
        <v>84</v>
      </c>
      <c r="D374">
        <v>350</v>
      </c>
      <c r="E374" t="e">
        <f>VLOOKUP(Tabela14[[#This Row],[ID_COD]],[1]!Tabela2[#Data],6,0)</f>
        <v>#N/A</v>
      </c>
      <c r="F374" t="s">
        <v>62</v>
      </c>
      <c r="G374" s="4">
        <v>22.79</v>
      </c>
    </row>
    <row r="375" spans="1:7" x14ac:dyDescent="0.25">
      <c r="A375">
        <v>1819</v>
      </c>
      <c r="B375" t="s">
        <v>377</v>
      </c>
      <c r="C375" t="s">
        <v>82</v>
      </c>
      <c r="D375">
        <v>210</v>
      </c>
      <c r="E375">
        <f>VLOOKUP(Tabela14[[#This Row],[ID_COD]],[1]!Tabela2[#Data],6,0)</f>
        <v>36</v>
      </c>
      <c r="F375" t="s">
        <v>50</v>
      </c>
      <c r="G375" s="4">
        <v>16.87</v>
      </c>
    </row>
    <row r="376" spans="1:7" x14ac:dyDescent="0.25">
      <c r="A376">
        <v>2011</v>
      </c>
      <c r="B376" t="s">
        <v>378</v>
      </c>
      <c r="C376" t="s">
        <v>84</v>
      </c>
      <c r="D376">
        <v>900</v>
      </c>
      <c r="E376" t="e">
        <f>VLOOKUP(Tabela14[[#This Row],[ID_COD]],[1]!Tabela2[#Data],6,0)</f>
        <v>#N/A</v>
      </c>
      <c r="F376" t="s">
        <v>203</v>
      </c>
      <c r="G376" s="4">
        <v>58.6</v>
      </c>
    </row>
    <row r="377" spans="1:7" x14ac:dyDescent="0.25">
      <c r="A377">
        <v>2010</v>
      </c>
      <c r="B377" t="s">
        <v>378</v>
      </c>
      <c r="C377" t="s">
        <v>82</v>
      </c>
      <c r="D377">
        <v>320</v>
      </c>
      <c r="E377" t="e">
        <f>VLOOKUP(Tabela14[[#This Row],[ID_COD]],[1]!Tabela2[#Data],6,0)</f>
        <v>#N/A</v>
      </c>
      <c r="F377" t="s">
        <v>203</v>
      </c>
      <c r="G377" s="4">
        <v>25.71</v>
      </c>
    </row>
    <row r="378" spans="1:7" x14ac:dyDescent="0.25">
      <c r="A378">
        <v>1822</v>
      </c>
      <c r="B378" t="s">
        <v>379</v>
      </c>
      <c r="C378" t="s">
        <v>84</v>
      </c>
      <c r="D378">
        <v>380</v>
      </c>
      <c r="E378">
        <f>VLOOKUP(Tabela14[[#This Row],[ID_COD]],[1]!Tabela2[#Data],6,0)</f>
        <v>0</v>
      </c>
      <c r="F378" t="s">
        <v>49</v>
      </c>
      <c r="G378" s="4">
        <v>24.51</v>
      </c>
    </row>
    <row r="379" spans="1:7" x14ac:dyDescent="0.25">
      <c r="A379">
        <v>1797</v>
      </c>
      <c r="B379" t="s">
        <v>380</v>
      </c>
      <c r="C379" t="s">
        <v>80</v>
      </c>
      <c r="E379">
        <f>VLOOKUP(Tabela14[[#This Row],[ID_COD]],[1]!Tabela2[#Data],6,0)</f>
        <v>12</v>
      </c>
      <c r="F379" t="s">
        <v>46</v>
      </c>
      <c r="G379" s="4">
        <v>48.5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43D0F-D901-4192-A0BF-9420EF8478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 por Produto - (Abril)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2026-04-30T20:50:52Z</dcterms:created>
  <dcterms:modified xsi:type="dcterms:W3CDTF">2026-04-30T22:16:37Z</dcterms:modified>
</cp:coreProperties>
</file>