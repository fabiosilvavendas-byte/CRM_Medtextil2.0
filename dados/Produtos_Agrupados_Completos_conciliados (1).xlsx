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37ED9916-41A0-4286-8D91-0795EBFA2E3F}" xr6:coauthVersionLast="47" xr6:coauthVersionMax="47" xr10:uidLastSave="{00000000-0000-0000-0000-000000000000}"/>
  <bookViews>
    <workbookView xWindow="-120" yWindow="-120" windowWidth="29040" windowHeight="15840" xr2:uid="{86B17377-32DB-438B-8A03-02E761646E6D}"/>
  </bookViews>
  <sheets>
    <sheet name="CONCILIADA" sheetId="3" r:id="rId1"/>
    <sheet name="Tabela de preços" sheetId="4" r:id="rId2"/>
    <sheet name="Estoque" sheetId="6" r:id="rId3"/>
  </sheets>
  <definedNames>
    <definedName name="DadosExternos_1" localSheetId="0" hidden="1">CONCILIADA!$A$1:$G$419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6" i="3" l="1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375" i="3"/>
  <c r="H17" i="3"/>
  <c r="H15" i="3"/>
  <c r="H14" i="3"/>
  <c r="H12" i="3"/>
  <c r="H11" i="3"/>
  <c r="H10" i="3"/>
  <c r="H9" i="3"/>
  <c r="H8" i="3"/>
  <c r="H7" i="3"/>
  <c r="H6" i="3"/>
  <c r="H5" i="3"/>
  <c r="H4" i="3"/>
  <c r="H3" i="3"/>
  <c r="H2" i="3"/>
  <c r="F370" i="3" l="1"/>
  <c r="F371" i="3"/>
  <c r="F372" i="3"/>
  <c r="F373" i="3"/>
  <c r="F374" i="3"/>
  <c r="F369" i="3"/>
  <c r="F36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2" i="3"/>
  <c r="H21" i="3" l="1"/>
  <c r="H22" i="3"/>
  <c r="H2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A902C-24D1-4462-92FD-DEB6AE6A76C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<sst xmlns="http://schemas.openxmlformats.org/spreadsheetml/2006/main" count="3393" uniqueCount="530">
  <si>
    <t>Grupo</t>
  </si>
  <si>
    <t>Linha</t>
  </si>
  <si>
    <t>Descrição</t>
  </si>
  <si>
    <t>COMPRESSA ESTÉRIL</t>
  </si>
  <si>
    <t>Med Mais</t>
  </si>
  <si>
    <t>Estéril 9 fios</t>
  </si>
  <si>
    <t>Estéril 11 fios</t>
  </si>
  <si>
    <t>Estéril 13 fios</t>
  </si>
  <si>
    <t>Ultra Textil</t>
  </si>
  <si>
    <t>Med Textil</t>
  </si>
  <si>
    <t>CAMPOS OPERATÓRIOS</t>
  </si>
  <si>
    <t>CAMPO C/ 2</t>
  </si>
  <si>
    <t>CAMPO C/ 5</t>
  </si>
  <si>
    <t>CAMPO 45 X 50</t>
  </si>
  <si>
    <t>COMPRESSA NÃO ESTÉRIL – 9 FIOS</t>
  </si>
  <si>
    <t>COMPRESSA 9 FIOS</t>
  </si>
  <si>
    <t>COMPRESSA NÃO ESTÉRIL – 11 FIOS</t>
  </si>
  <si>
    <t>COMPRESSA 11 FIOS</t>
  </si>
  <si>
    <t>COMPRESSA DE GAZE 11F</t>
  </si>
  <si>
    <t>COMPRESSA NÃO ESTÉRIL – 13 FIOS</t>
  </si>
  <si>
    <t>COMPRESSA 13 FIOS</t>
  </si>
  <si>
    <t>GAZE EM ROLO – 9 FIOS</t>
  </si>
  <si>
    <t>ROLO 9 FIOS</t>
  </si>
  <si>
    <t>GAZE EM ROLO – 11 FIOS</t>
  </si>
  <si>
    <t>ROLO 11 FIOS</t>
  </si>
  <si>
    <t>GAZE EM ROLO – 13 FIOS</t>
  </si>
  <si>
    <t>ROLO 13 FIOS</t>
  </si>
  <si>
    <t>ATADURAS LINHA FARMA</t>
  </si>
  <si>
    <t>Med Mais - COMBATE (A)</t>
  </si>
  <si>
    <t>8 X 1,00</t>
  </si>
  <si>
    <t>10 X 1,00</t>
  </si>
  <si>
    <t>12 X 1,00</t>
  </si>
  <si>
    <t>15 X 1,00</t>
  </si>
  <si>
    <t>20 X 1,00</t>
  </si>
  <si>
    <t>25 X 1,00</t>
  </si>
  <si>
    <t>30 X 1,00</t>
  </si>
  <si>
    <t>8 X 1,50</t>
  </si>
  <si>
    <t>10 X 1,50</t>
  </si>
  <si>
    <t>12 X 1,50</t>
  </si>
  <si>
    <t>15 X 1,50</t>
  </si>
  <si>
    <t>20 X 1,50</t>
  </si>
  <si>
    <t>25 X 1,50</t>
  </si>
  <si>
    <t>30 X 1,50</t>
  </si>
  <si>
    <t>Med Mais - EXTRA (B)</t>
  </si>
  <si>
    <t>8 X 1,20</t>
  </si>
  <si>
    <t>10 X 1,20</t>
  </si>
  <si>
    <t>12 X 1,20</t>
  </si>
  <si>
    <t>15 X 1,20</t>
  </si>
  <si>
    <t>20 X 1,20</t>
  </si>
  <si>
    <t>25 X 1,20</t>
  </si>
  <si>
    <t>30 X 1,20</t>
  </si>
  <si>
    <t>8 X 1,80</t>
  </si>
  <si>
    <t>10 X 1,80</t>
  </si>
  <si>
    <t>12 X 1,80</t>
  </si>
  <si>
    <t>15 X 1,80</t>
  </si>
  <si>
    <t>20 X 1,80</t>
  </si>
  <si>
    <t>25 X 1,80</t>
  </si>
  <si>
    <t>30 X 1,80</t>
  </si>
  <si>
    <t>Ultra Textil - COMBATE (A)</t>
  </si>
  <si>
    <t>Ultra Textil - EXTRA (B)</t>
  </si>
  <si>
    <t>Med Textil - COMBATE (A)</t>
  </si>
  <si>
    <t>Med Textil - EXTRA (B)</t>
  </si>
  <si>
    <t>ATADURAS LINHA HOSPITALAR</t>
  </si>
  <si>
    <t>Conviva (Marca Própria)</t>
  </si>
  <si>
    <t>ESTÉRIL 13 FIOS CONVIVA</t>
  </si>
  <si>
    <t>Bcmed (Marca Própria)</t>
  </si>
  <si>
    <t>ESTÉRIL 13 FIOS BC MED</t>
  </si>
  <si>
    <t>MedLife (Marca Própria)</t>
  </si>
  <si>
    <t>ESTÉRIL 13 FIOS MEDLIFE</t>
  </si>
  <si>
    <t xml:space="preserve"> ATADURA DE CREPE 13 FIOS 10 X 1,20  PCT 12</t>
  </si>
  <si>
    <t xml:space="preserve"> ATADURA DE CREPE 13 FIOS 10 X 1,20  PCT 12 HOSP. C</t>
  </si>
  <si>
    <t xml:space="preserve"> ATADURA DE CREPE 13 FIOS 10 X 1,80  PCT 12</t>
  </si>
  <si>
    <t xml:space="preserve"> ATADURA DE CREPE 13 FIOS 10 X 1,80  PCT 12 FARMA E</t>
  </si>
  <si>
    <t xml:space="preserve"> ATADURA DE CREPE 13 FIOS 12 X 1,20  PCT 12</t>
  </si>
  <si>
    <t xml:space="preserve"> ATADURA DE CREPE 13 FIOS 12 X 1,20  PCT 12 FARMA E</t>
  </si>
  <si>
    <t xml:space="preserve"> ATADURA DE CREPE 13 FIOS 12 X 1,20  PCT 12 HOSP. C</t>
  </si>
  <si>
    <t xml:space="preserve"> ATADURA DE CREPE 13 FIOS 12 X 1,20  PCT 12 HOSP. E</t>
  </si>
  <si>
    <t xml:space="preserve"> ATADURA DE CREPE 13 FIOS 12 X 1,80  PCT 12</t>
  </si>
  <si>
    <t xml:space="preserve"> ATADURA DE CREPE 13 FIOS 12 X 1,80  PCT 12 FARMA E</t>
  </si>
  <si>
    <t xml:space="preserve"> ATADURA DE CREPE 13 FIOS 12 X 1,80  PCT 12 HOSP. C</t>
  </si>
  <si>
    <t xml:space="preserve"> ATADURA DE CREPE 13 FIOS 15 X 1,20  PCT 12</t>
  </si>
  <si>
    <t xml:space="preserve"> ATADURA DE CREPE 13 FIOS 15 X 1,20  PCT 12 FARMA C</t>
  </si>
  <si>
    <t xml:space="preserve"> ATADURA DE CREPE 13 FIOS 15 X 1,20  PCT 12 HOSP. E</t>
  </si>
  <si>
    <t xml:space="preserve"> ATADURA DE CREPE 13 FIOS 15 X 1,80  PCT 12</t>
  </si>
  <si>
    <t xml:space="preserve"> ATADURA DE CREPE 13 FIOS 15 X 1,80  PCT 12 FARMA C</t>
  </si>
  <si>
    <t xml:space="preserve"> ATADURA DE CREPE 13 FIOS 15 X 1,80  PCT 12 FARMA E</t>
  </si>
  <si>
    <t xml:space="preserve"> ATADURA DE CREPE 13 FIOS 15 X 1,80  PCT 12 HOSP. C</t>
  </si>
  <si>
    <t xml:space="preserve"> ATADURA DE CREPE 13 FIOS 20 X 1,20  PCT 12</t>
  </si>
  <si>
    <t xml:space="preserve"> ATADURA DE CREPE 13 FIOS 20 X 1,20  PCT 12 FARMA C</t>
  </si>
  <si>
    <t xml:space="preserve"> ATADURA DE CREPE 13 FIOS 20 X 1,20  PCT 12 FARMA E</t>
  </si>
  <si>
    <t xml:space="preserve"> ATADURA DE CREPE 13 FIOS 20 X 1,20  PCT 12 HOSP. E</t>
  </si>
  <si>
    <t xml:space="preserve"> ATADURA DE CREPE 13 FIOS 20 X 1,80  PCT 12</t>
  </si>
  <si>
    <t xml:space="preserve"> ATADURA DE CREPE 13 FIOS 20 X 1,80  PCT 12 FARMA C</t>
  </si>
  <si>
    <t xml:space="preserve"> ATADURA DE CREPE 13 FIOS 20 X 1,80  PCT 12 FARMA E</t>
  </si>
  <si>
    <t xml:space="preserve"> ATADURA DE CREPE 13 FIOS 20 X 1,80  PCT 12 HOSP. C</t>
  </si>
  <si>
    <t xml:space="preserve"> ATADURA DE CREPE 13 FIOS 20 X 1,80  PCT 12 HOSP. E</t>
  </si>
  <si>
    <t xml:space="preserve"> ATADURA DE CREPE 13 FIOS 30 X 1,20  PCT 12</t>
  </si>
  <si>
    <t xml:space="preserve"> ATADURA DE CREPE 13 FIOS 30 X 1,20  PCT 12 FARMA C</t>
  </si>
  <si>
    <t xml:space="preserve"> ATADURA DE CREPE 13 FIOS 30 X 1,20  PCT 12 FARMA E</t>
  </si>
  <si>
    <t xml:space="preserve"> ATADURA DE CREPE 13 FIOS 30 X 1,20  PCT 12 HOSP. C</t>
  </si>
  <si>
    <t xml:space="preserve"> ATADURA DE CREPE 13 FIOS 30 X 1,20  PCT 12 HOSP. E</t>
  </si>
  <si>
    <t xml:space="preserve"> ATADURA DE CREPE 13 FIOS 30 X 1,80  PCT 12</t>
  </si>
  <si>
    <t xml:space="preserve"> ATADURA DE CREPE 13 FIOS 30 X 1,80  PCT 12 FARMA C</t>
  </si>
  <si>
    <t xml:space="preserve"> ATADURA DE CREPE 13 FIOS 30 X 1,80  PCT 12 FARMA E</t>
  </si>
  <si>
    <t xml:space="preserve"> ATADURA DE CREPE13 FIOS 15 X 1,80  PCT 12 </t>
  </si>
  <si>
    <t xml:space="preserve"> ATADURA DE CREPE13 FIOS 20 X 1,80  PCT 12 </t>
  </si>
  <si>
    <t xml:space="preserve"> CAMPO OPERATORIO ESTERIL 25X28 - PCT 5 UND </t>
  </si>
  <si>
    <t xml:space="preserve"> GAZE ESTÉRIL 13FIOS - PCT 10 UND </t>
  </si>
  <si>
    <t xml:space="preserve"> GAZE NAO ESTÉRIL 11 FIOS B</t>
  </si>
  <si>
    <t xml:space="preserve"> GAZE NAO ESTÉRIL 13 FIOS - PCT 500 UND</t>
  </si>
  <si>
    <t>ATADURA DE CREPE 13 FIOS 10 X 1,20  PCT 12</t>
  </si>
  <si>
    <t>ATADURA DE CREPE 13 FIOS 10 X 1,20  PCT 12 FARMA C</t>
  </si>
  <si>
    <t>ATADURA DE CREPE 13 FIOS 10 X 1,20  PCT 12 FARMA E</t>
  </si>
  <si>
    <t>ATADURA DE CREPE 13 FIOS 10 X 1,20  PCT 12 HOSP. E</t>
  </si>
  <si>
    <t>ATADURA DE CREPE 13 FIOS 10 X 1,20  PCT 12 HOSPITALAR C</t>
  </si>
  <si>
    <t>ATADURA DE CREPE 13 FIOS 10 X 1,20  PCT 12 HOSPITALAR E</t>
  </si>
  <si>
    <t>ATADURA DE CREPE 13 FIOS 10 X 1,80  PCT 12</t>
  </si>
  <si>
    <t>ATADURA DE CREPE 13 FIOS 10 X 1,80  PCT 12   FARMA C</t>
  </si>
  <si>
    <t>ATADURA DE CREPE 13 FIOS 10 X 1,80  PCT 12   HOSPITALAR C</t>
  </si>
  <si>
    <t>ATADURA DE CREPE 13 FIOS 10 X 1,80  PCT 12   HOSPITALAR E</t>
  </si>
  <si>
    <t>ATADURA DE CREPE 13 FIOS 10 X 1,80  PCT 12 - FARMA C</t>
  </si>
  <si>
    <t>ATADURA DE CREPE 13 FIOS 10 X 1,80  PCT 12 FARMA E</t>
  </si>
  <si>
    <t>ATADURA DE CREPE 13 FIOS 10 X 1,80  PCT 12 HOSP. C</t>
  </si>
  <si>
    <t>ATADURA DE CREPE 13 FIOS 10 X 1,80  PCT 12 HOSP. E</t>
  </si>
  <si>
    <t>ATADURA DE CREPE 13 FIOS 12 X 1,20  PCT 12</t>
  </si>
  <si>
    <t>ATADURA DE CREPE 13 FIOS 12 X 1,20  PCT 12  HOSPITALAR C</t>
  </si>
  <si>
    <t>ATADURA DE CREPE 13 FIOS 12 X 1,20  PCT 12 FARMA C</t>
  </si>
  <si>
    <t>ATADURA DE CREPE 13 FIOS 12 X 1,20  PCT 12 FARMA E</t>
  </si>
  <si>
    <t>ATADURA DE CREPE 13 FIOS 12 X 1,20  PCT 12 HOSPITALAR E</t>
  </si>
  <si>
    <t>ATADURA DE CREPE 13 FIOS 12 X 1,80  PCT 12</t>
  </si>
  <si>
    <t>ATADURA DE CREPE 13 FIOS 12 X 1,80  PCT 12  HOSPITALAR C</t>
  </si>
  <si>
    <t>ATADURA DE CREPE 13 FIOS 12 X 1,80  PCT 12  HOSPITALAR E</t>
  </si>
  <si>
    <t>ATADURA DE CREPE 13 FIOS 12 X 1,80  PCT 12 FARMA C</t>
  </si>
  <si>
    <t>ATADURA DE CREPE 13 FIOS 12 X 1,80  PCT 12 FARMA E</t>
  </si>
  <si>
    <t>ATADURA DE CREPE 13 FIOS 12 X 1,80  PCT 12 HOSP. E</t>
  </si>
  <si>
    <t>ATADURA DE CREPE 13 FIOS 15 X 1,20  PCT 12</t>
  </si>
  <si>
    <t>ATADURA DE CREPE 13 FIOS 15 X 1,20  PCT 12  HOSPITALAR C</t>
  </si>
  <si>
    <t xml:space="preserve">ATADURA DE CREPE 13 FIOS 15 X 1,20  PCT 12 FARMA C </t>
  </si>
  <si>
    <t>160</t>
  </si>
  <si>
    <t>ATADURA DE CREPE 13 FIOS 15 X 1,20  PCT 12 FARMA E</t>
  </si>
  <si>
    <t>ATADURA DE CREPE 13 FIOS 15 X 1,20  PCT 12 HOSP. C</t>
  </si>
  <si>
    <t>420</t>
  </si>
  <si>
    <t>ATADURA DE CREPE 13 FIOS 15 X 1,20  PCT 12 HOSPITALAR E</t>
  </si>
  <si>
    <t>ATADURA DE CREPE 13 FIOS 15 X 1,80  PCT 12</t>
  </si>
  <si>
    <t>ATADURA DE CREPE 13 FIOS 15 X 1,80  PCT 12   HOSPITALAR C</t>
  </si>
  <si>
    <t>ATADURA DE CREPE 13 FIOS 15 X 1,80  PCT 12  FARMA C</t>
  </si>
  <si>
    <t>ATADURA DE CREPE 13 FIOS 15 X 1,80  PCT 12  HOSPITALAR E</t>
  </si>
  <si>
    <t>ATADURA DE CREPE 13 FIOS 15 X 1,80  PCT 12 HOSP. E</t>
  </si>
  <si>
    <t>ATADURA DE CREPE 13 FIOS 20 X 1,20  PCT 12</t>
  </si>
  <si>
    <t xml:space="preserve">ATADURA DE CREPE 13 FIOS 20 X 1,20  PCT 12  FARMA C </t>
  </si>
  <si>
    <t>ATADURA DE CREPE 13 FIOS 20 X 1,20  PCT 12  HOSPITALAR C</t>
  </si>
  <si>
    <t>ATADURA DE CREPE 13 FIOS 20 X 1,20  PCT 12  HOSPITALAR E</t>
  </si>
  <si>
    <t>ATADURA DE CREPE 13 FIOS 20 X 1,20  PCT 12 FARMA E</t>
  </si>
  <si>
    <t>ATADURA DE CREPE 13 FIOS 20 X 1,20  PCT 12 HOSP. C</t>
  </si>
  <si>
    <t>ATADURA DE CREPE 13 FIOS 20 X 1,80  PCT 12   HOSPITALAR C</t>
  </si>
  <si>
    <t xml:space="preserve">ATADURA DE CREPE 13 FIOS 20 X 1,80  PCT 12  FARMA C </t>
  </si>
  <si>
    <t>ATADURA DE CREPE 13 FIOS 20 X 1,80  PCT 12  HOSPITALAR E</t>
  </si>
  <si>
    <t>ATADURA DE CREPE 13 FIOS 30 X 1,20  PCT 12  FARMA C</t>
  </si>
  <si>
    <t>ATADURA DE CREPE 13 FIOS 30 X 1,20  PCT 12  HOSPITALAR C</t>
  </si>
  <si>
    <t>ATADURA DE CREPE 13 FIOS 30 X 1,20  PCT 12  HOSPITALAR E</t>
  </si>
  <si>
    <t>ATADURA DE CREPE 13 FIOS 30 X 1,20  PCT 12 FARMA E</t>
  </si>
  <si>
    <t>ATADURA DE CREPE 13 FIOS 30 X 1,80  PCT 12</t>
  </si>
  <si>
    <t>ATADURA DE CREPE 13 FIOS 30 X 1,80  PCT 12   HOSPITALAR C</t>
  </si>
  <si>
    <t>ATADURA DE CREPE 13 FIOS 30 X 1,80  PCT 12  HOSPITALAR E</t>
  </si>
  <si>
    <t>430</t>
  </si>
  <si>
    <t>ATADURA DE CREPE 13 FIOS 30 X 1,80  PCT 12 FARMA C</t>
  </si>
  <si>
    <t>170</t>
  </si>
  <si>
    <t>ATADURA DE CREPE 13 FIOS 30 X 1,80  PCT 12 FARMA E</t>
  </si>
  <si>
    <t>ATADURA DE CREPE 13 FIOS 30 X 1,80  PCT 12 HOSP. C</t>
  </si>
  <si>
    <t>ATADURA DE CREPE 13 FIOS 30 X 1,80  PCT 12 HOSP. E</t>
  </si>
  <si>
    <t xml:space="preserve">ATADURA DE CREPE 13 FIOS 8 X 1,20  PCT 12 </t>
  </si>
  <si>
    <t>ATADURA DE CREPE 13 FIOS 8 X 1,20  PCT 12 FARMA C</t>
  </si>
  <si>
    <t>ATADURA DE CREPE13 FIOS 15 X 1,80  PCT 12 FARMA E</t>
  </si>
  <si>
    <t>ATADURA DE CREPE13 FIOS 20 X 1,80  PCT 12 FARMA E</t>
  </si>
  <si>
    <t>CAMPO OPERATORIO ESTERIL 25X28 - PCT 2 UND</t>
  </si>
  <si>
    <t xml:space="preserve">CAMPO OPERATORIO ESTERIL 25X28 - PCT 2 UND </t>
  </si>
  <si>
    <t>CAMPO OPERATORIO ESTERIL 25X28 - PCT 5 UND</t>
  </si>
  <si>
    <t>CAMPO OPERATORIO NAO ESTERIL 45X50 - PCT 50</t>
  </si>
  <si>
    <t xml:space="preserve">CAMPO OPERATORIO NAO ESTERIL 45X50 - PCT 50 </t>
  </si>
  <si>
    <t>CAMPO OPERATORIO NAO ESTERIL 45X50 - PCT 50 UND</t>
  </si>
  <si>
    <t>290</t>
  </si>
  <si>
    <t xml:space="preserve">CIRCULAR NAO ESTERIL 11 FIOS </t>
  </si>
  <si>
    <t xml:space="preserve">CIRCULAR NAO ESTERIL 13 FIOS  </t>
  </si>
  <si>
    <t xml:space="preserve">GAZE  CIRCULAR NAO ESTERIL 09 FIOS </t>
  </si>
  <si>
    <t>GAZE  CIRCULAR NAO ESTERIL 09 FIOS F</t>
  </si>
  <si>
    <t>GAZE  CIRCULAR NAO ESTERIL 09 FIOS H</t>
  </si>
  <si>
    <t>GAZE  CIRCULAR NAO ESTERIL 11 FIOS H</t>
  </si>
  <si>
    <t xml:space="preserve">GAZE CIRCULAR NAO ESTERIL 09 FIOS </t>
  </si>
  <si>
    <t>GAZE CIRCULAR NAO ESTERIL 09 FIOS A</t>
  </si>
  <si>
    <t xml:space="preserve">GAZE CIRCULAR NAO ESTERIL 09 FIOS A  </t>
  </si>
  <si>
    <t>130</t>
  </si>
  <si>
    <t>GAZE CIRCULAR NAO ESTERIL 09 FIOS B</t>
  </si>
  <si>
    <t>GAZE CIRCULAR NAO ESTERIL 09 FIOS C</t>
  </si>
  <si>
    <t>GAZE CIRCULAR NAO ESTERIL 09 FIOS E</t>
  </si>
  <si>
    <t>GAZE CIRCULAR NAO ESTERIL 09 FIOS F</t>
  </si>
  <si>
    <t>GAZE CIRCULAR NAO ESTERIL 09 FIOS G</t>
  </si>
  <si>
    <t>GAZE CIRCULAR NAO ESTERIL 09 FIOS H</t>
  </si>
  <si>
    <t>GAZE CIRCULAR NAO ESTERIL 09 FIOS I</t>
  </si>
  <si>
    <t>90</t>
  </si>
  <si>
    <t>GAZE CIRCULAR NAO ESTERIL 09 FIOS J</t>
  </si>
  <si>
    <t>GAZE CIRCULAR NAO ESTERIL 09 FIOS L</t>
  </si>
  <si>
    <t>GAZE CIRCULAR NAO ESTERIL 09 FIOS M</t>
  </si>
  <si>
    <t>GAZE CIRCULAR NAO ESTERIL 09 FIOS N</t>
  </si>
  <si>
    <t>GAZE CIRCULAR NAO ESTERIL 09 FIOS O</t>
  </si>
  <si>
    <t>GAZE CIRCULAR NAO ESTERIL 09 FIOS P</t>
  </si>
  <si>
    <t>GAZE CIRCULAR NAO ESTERIL 09 FIOS Q</t>
  </si>
  <si>
    <t>GAZE CIRCULAR NAO ESTERIL 09 FIOS R</t>
  </si>
  <si>
    <t xml:space="preserve">GAZE CIRCULAR NAO ESTERIL 11 FIOS </t>
  </si>
  <si>
    <t>100</t>
  </si>
  <si>
    <t xml:space="preserve">GAZE CIRCULAR NAO ESTERIL 11 FIOS  </t>
  </si>
  <si>
    <t>GAZE CIRCULAR NAO ESTERIL 11 FIOS A</t>
  </si>
  <si>
    <t>GAZE CIRCULAR NAO ESTERIL 11 FIOS B</t>
  </si>
  <si>
    <t>GAZE CIRCULAR NAO ESTERIL 11 FIOS BA</t>
  </si>
  <si>
    <t>GAZE CIRCULAR NAO ESTERIL 11 FIOS CA</t>
  </si>
  <si>
    <t>140</t>
  </si>
  <si>
    <t>GAZE CIRCULAR NAO ESTERIL 11 FIOS DA</t>
  </si>
  <si>
    <t>GAZE CIRCULAR NAO ESTERIL 11 FIOS FA</t>
  </si>
  <si>
    <t>GAZE CIRCULAR NAO ESTERIL 11 FIOS G</t>
  </si>
  <si>
    <t>GAZE CIRCULAR NAO ESTERIL 11 FIOS GA</t>
  </si>
  <si>
    <t>GAZE CIRCULAR NAO ESTERIL 11 FIOS IA</t>
  </si>
  <si>
    <t>GAZE CIRCULAR NAO ESTERIL 11 FIOS JA</t>
  </si>
  <si>
    <t>GAZE CIRCULAR NAO ESTERIL 11 FIOS LA</t>
  </si>
  <si>
    <t>270</t>
  </si>
  <si>
    <t>GAZE CIRCULAR NAO ESTERIL 11 FIOS MA</t>
  </si>
  <si>
    <t>110</t>
  </si>
  <si>
    <t>GAZE CIRCULAR NAO ESTERIL 11 FIOS NA</t>
  </si>
  <si>
    <t>GAZE CIRCULAR NAO ESTERIL 11 FIOS OA</t>
  </si>
  <si>
    <t>GAZE CIRCULAR NAO ESTERIL 13 FIOS</t>
  </si>
  <si>
    <t xml:space="preserve">GAZE CIRCULAR NAO ESTERIL 13 FIOS </t>
  </si>
  <si>
    <t>GAZE CIRCULAR NAO ESTERIL 13 FIOS A</t>
  </si>
  <si>
    <t>GAZE CIRCULAR NAO ESTERIL 13 FIOS AA</t>
  </si>
  <si>
    <t>GAZE CIRCULAR NAO ESTERIL 13 FIOS BA</t>
  </si>
  <si>
    <t>GAZE CIRCULAR NAO ESTERIL 13 FIOS CA</t>
  </si>
  <si>
    <t>300</t>
  </si>
  <si>
    <t>GAZE CIRCULAR NAO ESTERIL 13 FIOS D</t>
  </si>
  <si>
    <t>GAZE CIRCULAR NAO ESTERIL 13 FIOS E</t>
  </si>
  <si>
    <t>GAZE CIRCULAR NAO ESTERIL 13 FIOS EA</t>
  </si>
  <si>
    <t>GAZE CIRCULAR NAO ESTERIL 13 FIOS F</t>
  </si>
  <si>
    <t>GAZE CIRCULAR NAO ESTERIL 13 FIOS FA</t>
  </si>
  <si>
    <t>GAZE CIRCULAR NAO ESTERIL 13 FIOS G</t>
  </si>
  <si>
    <t>150</t>
  </si>
  <si>
    <t>GAZE CIRCULAR NAO ESTERIL 13 FIOS GA</t>
  </si>
  <si>
    <t>GAZE CIRCULAR NAO ESTERIL 13 FIOS H</t>
  </si>
  <si>
    <t>280</t>
  </si>
  <si>
    <t>GAZE CIRCULAR NAO ESTERIL 13 FIOS HA</t>
  </si>
  <si>
    <t>120</t>
  </si>
  <si>
    <t>GAZE CIRCULAR NAO ESTERIL 13 FIOS JA</t>
  </si>
  <si>
    <t>GAZE CIRCULAR NAO ESTERIL 13 FIOS LA</t>
  </si>
  <si>
    <t>GAZE CIRCULAR NAO ESTERIL 13 FIOS MA</t>
  </si>
  <si>
    <t>GAZE CIRCULAR NAO ESTERIL 13 FIOS NA</t>
  </si>
  <si>
    <t>GAZE CIRCULAR NAO ESTERIL 13 FIOS OA</t>
  </si>
  <si>
    <t>GAZE CIRCULAR NAO ESTERIL 13 FIOS QA</t>
  </si>
  <si>
    <t>GAZE CIRCULAR NAO ESTERIL 13 FIOS RA</t>
  </si>
  <si>
    <t>GAZE ESTÉRIL 09 FIOS - PCT 10 UND</t>
  </si>
  <si>
    <t xml:space="preserve">GAZE ESTÉRIL 09 FIOS - PCT 10 UND </t>
  </si>
  <si>
    <t xml:space="preserve">GAZE ESTERIL 09 FIOS ULTRA TEXTIL PCT 10 UND </t>
  </si>
  <si>
    <t xml:space="preserve">GAZE ESTERIL 11 FIOS PCT 10 UND </t>
  </si>
  <si>
    <t xml:space="preserve">GAZE ESTÉRIL 11FIOS -  PCT 10 UND </t>
  </si>
  <si>
    <t xml:space="preserve">GAZE ESTÉRIL 11FIOS - PCT 10 UND </t>
  </si>
  <si>
    <t xml:space="preserve">GAZE ESTERIL 13 FIOS PCT 10 UND </t>
  </si>
  <si>
    <t>GAZE ESTÉRIL 13FIOS - BC MED - PCT 10 UND</t>
  </si>
  <si>
    <t>GAZE ESTÉRIL 13FIOS - CONVIVA - PCT 10 UND</t>
  </si>
  <si>
    <t>260</t>
  </si>
  <si>
    <t>GAZE ESTÉRIL 13FIOS - MEDLIFE - PCT 10 UND</t>
  </si>
  <si>
    <t xml:space="preserve">GAZE ESTÉRIL 13FIOS - PCT 10 UND </t>
  </si>
  <si>
    <t xml:space="preserve">GAZE NAO ESTÉRIL 09 FIOS </t>
  </si>
  <si>
    <t xml:space="preserve">GAZE NAO ESTÉRIL 09 FIOS  </t>
  </si>
  <si>
    <t>GAZE NAO ESTÉRIL 09 FIOS - PCT 500 UND</t>
  </si>
  <si>
    <t>GAZE NAO ESTÉRIL 09 FIOS B</t>
  </si>
  <si>
    <t>GAZE NAO ESTÉRIL 09 FIOS D</t>
  </si>
  <si>
    <t>GAZE NAO ESTÉRIL 09 FIOS E</t>
  </si>
  <si>
    <t>GAZE NAO ESTÉRIL 09 FIOS F</t>
  </si>
  <si>
    <t>GAZE NAO ESTÉRIL 09 FIOS G</t>
  </si>
  <si>
    <t>GAZE NAO ESTÉRIL 09 FIOS H</t>
  </si>
  <si>
    <t>GAZE NAO ESTÉRIL 09 FIOS I</t>
  </si>
  <si>
    <t>GAZE NAO ESTÉRIL 09 FIOS J</t>
  </si>
  <si>
    <t>GAZE NAO ESTÉRIL 09 FIOS L</t>
  </si>
  <si>
    <t>GAZE NAO ESTÉRIL 09 FIOS M</t>
  </si>
  <si>
    <t>GAZE NAO ESTÉRIL 09 FIOS N</t>
  </si>
  <si>
    <t>GAZE NAO ESTÉRIL 09 FIOS O</t>
  </si>
  <si>
    <t xml:space="preserve">GAZE NAO ESTÉRIL 11 FIOS </t>
  </si>
  <si>
    <t>310</t>
  </si>
  <si>
    <t>315</t>
  </si>
  <si>
    <t>GAZE NAO ESTÉRIL 11 FIOS B</t>
  </si>
  <si>
    <t>GAZE NAO ESTÉRIL 11 FIOS BA - PCT 500 UND</t>
  </si>
  <si>
    <t>340</t>
  </si>
  <si>
    <t>GAZE NAO ESTÉRIL 11 FIOS CA</t>
  </si>
  <si>
    <t>GAZE NAO ESTÉRIL 11 FIOS DA</t>
  </si>
  <si>
    <t>GAZE NAO ESTÉRIL 11 FIOS E</t>
  </si>
  <si>
    <t>GAZE NAO ESTÉRIL 11 FIOS EA</t>
  </si>
  <si>
    <t>GAZE NAO ESTÉRIL 11 FIOS F</t>
  </si>
  <si>
    <t>GAZE NAO ESTÉRIL 11 FIOS GA</t>
  </si>
  <si>
    <t>GAZE NAO ESTÉRIL 11 FIOS H</t>
  </si>
  <si>
    <t>GAZE NAO ESTÉRIL 11 FIOS HA</t>
  </si>
  <si>
    <t>70</t>
  </si>
  <si>
    <t>GAZE NAO ESTÉRIL 11 FIOS IA</t>
  </si>
  <si>
    <t>GAZE NAO ESTÉRIL 11 FIOS J</t>
  </si>
  <si>
    <t>GAZE NAO ESTÉRIL 11 FIOS L</t>
  </si>
  <si>
    <t>GAZE NAO ESTÉRIL 11 FIOS N</t>
  </si>
  <si>
    <t>320</t>
  </si>
  <si>
    <t>GAZE NAO ESTÉRIL 11 FIOS OA</t>
  </si>
  <si>
    <t xml:space="preserve">GAZE NAO ESTÉRIL 13 FIOS </t>
  </si>
  <si>
    <t>350</t>
  </si>
  <si>
    <t>GAZE NAO ESTÉRIL 13 FIOS  - PCT 500 UND</t>
  </si>
  <si>
    <t>GAZE NAO ESTÉRIL 13 FIOS - PCT 500 UND</t>
  </si>
  <si>
    <t>GAZE NAO ESTÉRIL 13 FIOS B</t>
  </si>
  <si>
    <t>GAZE NAO ESTÉRIL 13 FIOS C</t>
  </si>
  <si>
    <t>GAZE NAO ESTÉRIL 13 FIOS D</t>
  </si>
  <si>
    <t>GAZE NAO ESTÉRIL 13 FIOS DA</t>
  </si>
  <si>
    <t>GAZE NAO ESTÉRIL 13 FIOS E</t>
  </si>
  <si>
    <t>GAZE NAO ESTÉRIL 13 FIOS F</t>
  </si>
  <si>
    <t xml:space="preserve">GAZE NAO ESTÉRIL 13 FIOS F </t>
  </si>
  <si>
    <t>GAZE NAO ESTÉRIL 13 FIOS G</t>
  </si>
  <si>
    <t>GAZE NAO ESTÉRIL 13 FIOS H</t>
  </si>
  <si>
    <t>80</t>
  </si>
  <si>
    <t>GAZE NAO ESTÉRIL 13 FIOS IA</t>
  </si>
  <si>
    <t>330</t>
  </si>
  <si>
    <t>GAZE NAO ESTÉRIL 13 FIOS JA</t>
  </si>
  <si>
    <t>GAZE NAO ESTÉRIL 13 FIOS L</t>
  </si>
  <si>
    <t>GAZE NAO ESTÉRIL 13 FIOS MA</t>
  </si>
  <si>
    <t>GAZE NAO ESTÉRIL 13 FIOS NA</t>
  </si>
  <si>
    <t>GAZE NAO ESTÉRIL 13 FIOS PA</t>
  </si>
  <si>
    <t/>
  </si>
  <si>
    <t>180</t>
  </si>
  <si>
    <t>190</t>
  </si>
  <si>
    <t>200</t>
  </si>
  <si>
    <t>210</t>
  </si>
  <si>
    <t>220</t>
  </si>
  <si>
    <t>230</t>
  </si>
  <si>
    <t>240</t>
  </si>
  <si>
    <t>250</t>
  </si>
  <si>
    <t>360</t>
  </si>
  <si>
    <t>370</t>
  </si>
  <si>
    <t>380</t>
  </si>
  <si>
    <t>390</t>
  </si>
  <si>
    <t>400</t>
  </si>
  <si>
    <t>410</t>
  </si>
  <si>
    <t>440</t>
  </si>
  <si>
    <t>450</t>
  </si>
  <si>
    <t>Gramatura</t>
  </si>
  <si>
    <t>ID_COD</t>
  </si>
  <si>
    <t>DESCRICAONF</t>
  </si>
  <si>
    <t>CX_EMB</t>
  </si>
  <si>
    <t>COMPRESSA DE GAZE NÃO ESTERIL</t>
  </si>
  <si>
    <t>7,5 X 7,5  - 13x24 (aberta)</t>
  </si>
  <si>
    <t>9 fios</t>
  </si>
  <si>
    <t>105gr</t>
  </si>
  <si>
    <t>11 fios</t>
  </si>
  <si>
    <t>130gr</t>
  </si>
  <si>
    <t>13 fios</t>
  </si>
  <si>
    <t>150gr</t>
  </si>
  <si>
    <t>160gr</t>
  </si>
  <si>
    <t>180gr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</si>
  <si>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</si>
  <si>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</si>
  <si>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</si>
  <si>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</si>
  <si>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</si>
  <si>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</si>
  <si>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</si>
  <si>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</si>
  <si>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COMPRESSA ESTÉRIL – 9FIOS</t>
  </si>
  <si>
    <t>COMPRESSA ESTÉRIL – 11FIOS</t>
  </si>
  <si>
    <t>COMPRESSA ESTÉRIL – 13FIOS</t>
  </si>
  <si>
    <t>CAMPO OPERATÓRIO 45X50 (Com Radiopaco)</t>
  </si>
  <si>
    <t>PCT C/50</t>
  </si>
  <si>
    <t>CAMPO OPERATÓRIO 45X50 (Sem Radiopaco)</t>
  </si>
  <si>
    <t>CAMPO OPERATÓRIO – Pré encolhido</t>
  </si>
  <si>
    <t>PCT C/5 UND</t>
  </si>
  <si>
    <t>PCT C/2 UND</t>
  </si>
  <si>
    <t>ATADURA DE CREPE - FARMA</t>
  </si>
  <si>
    <t>08CM x 1,20M</t>
  </si>
  <si>
    <t>13 FIOS</t>
  </si>
  <si>
    <t>115 DUZIAS</t>
  </si>
  <si>
    <t>10CM x 1,20M</t>
  </si>
  <si>
    <t>110 DUZIAS</t>
  </si>
  <si>
    <t>12CM x 1,20M</t>
  </si>
  <si>
    <t>15CM x 1,20M</t>
  </si>
  <si>
    <t>90 DUZIAS</t>
  </si>
  <si>
    <t>20CM x 1,20M</t>
  </si>
  <si>
    <t>70 DUZIAS</t>
  </si>
  <si>
    <t>30CM x 1,20M</t>
  </si>
  <si>
    <t>50 DUZIAS</t>
  </si>
  <si>
    <t>08CM x 1,80M</t>
  </si>
  <si>
    <t>105 DUZIAS</t>
  </si>
  <si>
    <t>10CM x 1,80M</t>
  </si>
  <si>
    <t>100 DUZIAS</t>
  </si>
  <si>
    <t>12CM x 1,80M</t>
  </si>
  <si>
    <t>15CM x 1,80M</t>
  </si>
  <si>
    <t>75 DUZIAS</t>
  </si>
  <si>
    <t>20CM x 1,80M</t>
  </si>
  <si>
    <t>60 DUZIAS</t>
  </si>
  <si>
    <t>30CM x 1,80M</t>
  </si>
  <si>
    <t>40 DUZIAS</t>
  </si>
  <si>
    <t>ATADURA DE CREPE - HOSPITALAR</t>
  </si>
  <si>
    <t>104 DUZIAS</t>
  </si>
  <si>
    <t>52 DUZIAS</t>
  </si>
  <si>
    <t>42 DUZIAS</t>
  </si>
  <si>
    <t>86 DUZIAS</t>
  </si>
  <si>
    <t>44 DUZIAS</t>
  </si>
  <si>
    <t>28 DUZIAS</t>
  </si>
  <si>
    <t>7,5 X 7,5  - 15x26 (aberta)</t>
  </si>
  <si>
    <t>Ultra Têxtil</t>
  </si>
  <si>
    <t>500 und</t>
  </si>
  <si>
    <t>370gr</t>
  </si>
  <si>
    <t>380gr</t>
  </si>
  <si>
    <t>410gr</t>
  </si>
  <si>
    <t>CAMPO OPERATÓRIO - LEVE (Com Radiopaco)</t>
  </si>
  <si>
    <t>20gr</t>
  </si>
  <si>
    <t>17gr</t>
  </si>
  <si>
    <t>7,5 X 7,5 - 15x30 (aberta)</t>
  </si>
  <si>
    <t>Medtextil</t>
  </si>
  <si>
    <t>Tipo Queijo 91cm x 91m</t>
  </si>
  <si>
    <t>1.460gr</t>
  </si>
  <si>
    <t>1.530gr</t>
  </si>
  <si>
    <t>1.650gr</t>
  </si>
  <si>
    <t>COMPRESSA ESTÉRIL – 9FIOS   7,50 X 7,50</t>
  </si>
  <si>
    <t>MedTextil</t>
  </si>
  <si>
    <t>COMPRESSA ESTÉRIL – 11FIOS  7,50 X 7,50</t>
  </si>
  <si>
    <t>COMPRESSA ESTÉRIL – 13FIOS  7,50 X 7,50</t>
  </si>
  <si>
    <t>CAMPO OPERATÓRIO - LEVE</t>
  </si>
  <si>
    <t>25gr</t>
  </si>
  <si>
    <t>85 DUZIAS</t>
  </si>
  <si>
    <t>80 DUZIAS</t>
  </si>
  <si>
    <t>45 DUZIAS</t>
  </si>
  <si>
    <t>95 DUZIAS</t>
  </si>
  <si>
    <t>35 DUZIAS</t>
  </si>
  <si>
    <t>66 DUZIAS</t>
  </si>
  <si>
    <t>48 DUZIAS</t>
  </si>
  <si>
    <t xml:space="preserve"> 32 DUZIAS</t>
  </si>
  <si>
    <t>76 DUZIAS</t>
  </si>
  <si>
    <t>38 DUZIAS</t>
  </si>
  <si>
    <t>26 DUZIAS</t>
  </si>
  <si>
    <t>Cod</t>
  </si>
  <si>
    <t>Produto</t>
  </si>
  <si>
    <t>Apresentacao</t>
  </si>
  <si>
    <t>Fios</t>
  </si>
  <si>
    <t>Unid_Caixa</t>
  </si>
  <si>
    <t>Gramat</t>
  </si>
  <si>
    <t>Preco</t>
  </si>
  <si>
    <t>PRECO</t>
  </si>
  <si>
    <t>TECIDO DE ALGODAO ALVEJADO 11 FIOS</t>
  </si>
  <si>
    <t xml:space="preserve">GAZE NAO ESTERIL 13 FIOS </t>
  </si>
  <si>
    <t>CAMPO OPERATORIO NAO ESTERIL 45X50 S/ RX - PCT 50 UND</t>
  </si>
  <si>
    <t>MED MAIS</t>
  </si>
  <si>
    <t>ULTRA TÊXTIL</t>
  </si>
  <si>
    <t>MEDTEXTIL</t>
  </si>
  <si>
    <t>MEDMAIS</t>
  </si>
  <si>
    <t>PRETA</t>
  </si>
  <si>
    <t>BC MED</t>
  </si>
  <si>
    <t>COD</t>
  </si>
  <si>
    <t>DESCRIÇÃO</t>
  </si>
  <si>
    <t>PESO</t>
  </si>
  <si>
    <t>TIPO</t>
  </si>
  <si>
    <t>VOL.</t>
  </si>
  <si>
    <t>UNID.</t>
  </si>
  <si>
    <t>TOTAL</t>
  </si>
  <si>
    <t>tem 01 cx</t>
  </si>
  <si>
    <t>1 CX C/50</t>
  </si>
  <si>
    <t>MED LIFE</t>
  </si>
  <si>
    <t>COMPRESSA ESTÉRIL Estéril 9 fios</t>
  </si>
  <si>
    <t>COMPRESSA ESTÉRIL Estéril 11 fios</t>
  </si>
  <si>
    <t>COMPRESSA ESTÉRIL Estéril 13 fios</t>
  </si>
  <si>
    <t>CAMPOS OPERATÓRIOS CAMPO C/ 2</t>
  </si>
  <si>
    <t>CAMPOS OPERATÓRIOS CAMPO C/ 5</t>
  </si>
  <si>
    <t>CAMPOS OPERATÓRIOS CAMPO 45 X 50</t>
  </si>
  <si>
    <t>COMPRESSA NÃO ESTÉRIL – 9 FIOS COMPRESSA 9 FIOS</t>
  </si>
  <si>
    <t>COMPRESSA NÃO ESTÉRIL – 11 FIOS COMPRESSA 11 FIOS</t>
  </si>
  <si>
    <t>COMPRESSA NÃO ESTÉRIL – 11 FIOS COMPRESSA DE GAZE 11F</t>
  </si>
  <si>
    <t>COMPRESSA NÃO ESTÉRIL – 13 FIOS COMPRESSA 13 FIOS</t>
  </si>
  <si>
    <t>GAZE EM ROLO – 9 FIOS ROLO 9 FIOS</t>
  </si>
  <si>
    <t>GAZE EM ROLO – 11 FIOS ROLO 11 FIOS</t>
  </si>
  <si>
    <t>GAZE EM ROLO – 13 FIOS ROLO 13 FIOS</t>
  </si>
  <si>
    <t>ATADURAS LINHA FARMA 8 X 1,00</t>
  </si>
  <si>
    <t>ATADURAS LINHA FARMA 10 X 1,00</t>
  </si>
  <si>
    <t>ATADURAS LINHA FARMA 12 X 1,00</t>
  </si>
  <si>
    <t>ATADURAS LINHA FARMA 15 X 1,00</t>
  </si>
  <si>
    <t>ATADURAS LINHA FARMA 20 X 1,00</t>
  </si>
  <si>
    <t>[Vazio]</t>
  </si>
  <si>
    <t>ATADURAS LINHA FARMA 25 X 1,00</t>
  </si>
  <si>
    <t>ATADURAS LINHA FARMA 30 X 1,00</t>
  </si>
  <si>
    <t>ATADURAS LINHA FARMA 10 X 1,50</t>
  </si>
  <si>
    <t>ATADURAS LINHA FARMA 12 X 1,50</t>
  </si>
  <si>
    <t>ATADURAS LINHA FARMA 15 X 1,50</t>
  </si>
  <si>
    <t>ATADURAS LINHA FARMA 20 X 1,50</t>
  </si>
  <si>
    <t>ATADURAS LINHA FARMA 30 X 1,50</t>
  </si>
  <si>
    <t>ATADURAS LINHA FARMA 8 X 1,20</t>
  </si>
  <si>
    <t>ATADURAS LINHA FARMA 10 X 1,20</t>
  </si>
  <si>
    <t>ATADURAS LINHA FARMA 12 X 1,20</t>
  </si>
  <si>
    <t>ATADURAS LINHA FARMA 15 X 1,20</t>
  </si>
  <si>
    <t>ATADURAS LINHA FARMA 20 X 1,20</t>
  </si>
  <si>
    <t>ATADURAS LINHA FARMA 30 X 1,20</t>
  </si>
  <si>
    <t>ATADURAS LINHA FARMA 10 X 1,80</t>
  </si>
  <si>
    <t>ATADURAS LINHA FARMA 12 X 1,80</t>
  </si>
  <si>
    <t>ATADURAS LINHA FARMA 15 X 1,80</t>
  </si>
  <si>
    <t>ATADURAS LINHA FARMA 20 X 1,80</t>
  </si>
  <si>
    <t>ATADURAS LINHA FARMA 30 X 1,80</t>
  </si>
  <si>
    <t>ATADURAS LINHA HOSPITALAR 10 X 1,00</t>
  </si>
  <si>
    <t>ATADURAS LINHA HOSPITALAR 12 X 1,00</t>
  </si>
  <si>
    <t>ATADURAS LINHA HOSPITALAR 15 X 1,00</t>
  </si>
  <si>
    <t>ATADURAS LINHA HOSPITALAR 20 X 1,00</t>
  </si>
  <si>
    <t>ATADURAS LINHA HOSPITALAR 30 X 1,00</t>
  </si>
  <si>
    <t>ATADURAS LINHA HOSPITALAR 10 X 1,50</t>
  </si>
  <si>
    <t>ATADURAS LINHA HOSPITALAR 12 X 1,50</t>
  </si>
  <si>
    <t>ATADURAS LINHA HOSPITALAR 15 X 1,50</t>
  </si>
  <si>
    <t>ATADURAS LINHA HOSPITALAR 20 X 1,50</t>
  </si>
  <si>
    <t>ATADURAS LINHA HOSPITALAR 30 X 1,50</t>
  </si>
  <si>
    <t>ATADURAS LINHA HOSPITALAR 10 X 1,20</t>
  </si>
  <si>
    <t>ATADURAS LINHA HOSPITALAR 12 X 1,20</t>
  </si>
  <si>
    <t>ATADURAS LINHA HOSPITALAR 15 X 1,20</t>
  </si>
  <si>
    <t>ATADURAS LINHA HOSPITALAR 20 X 1,20</t>
  </si>
  <si>
    <t>ATADURAS LINHA HOSPITALAR 30 X 1,20</t>
  </si>
  <si>
    <t>ATADURAS LINHA HOSPITALAR 10 X 1,80</t>
  </si>
  <si>
    <t>ATADURAS LINHA HOSPITALAR 12 X 1,80</t>
  </si>
  <si>
    <t>ATADURAS LINHA HOSPITALAR 15 X 1,80</t>
  </si>
  <si>
    <t>ATADURAS LINHA HOSPITALAR 20 X 1,80</t>
  </si>
  <si>
    <t>ATADURAS LINHA HOSPITALAR 30 X 1,80</t>
  </si>
  <si>
    <t>COMPRESSA ESTÉRIL ESTÉRIL 13 FIOS CONVIVA</t>
  </si>
  <si>
    <t>COMPRESSA ESTÉRIL ESTÉRIL 13 FIOS BC MED</t>
  </si>
  <si>
    <t>COMPRESSA ESTÉRIL ESTÉRIL 13 FIOS MEDLIFE</t>
  </si>
  <si>
    <t>COMPRESSA DE GAZE 13F PAC  - N ESTÉRIL</t>
  </si>
  <si>
    <t>COMPRESSA DE GAZE 11F N ESTÉRIL  PCT C/ 500</t>
  </si>
  <si>
    <t>230g</t>
  </si>
  <si>
    <t>200g</t>
  </si>
  <si>
    <t xml:space="preserve">GAZE CIRCULAR NAO ESTERIL 13 FIOS  </t>
  </si>
  <si>
    <t>GAZE NAO ESTÉRIL 11 FIOS</t>
  </si>
  <si>
    <t>GAZE NAO ESTÉRIL 13 FIOS</t>
  </si>
  <si>
    <t xml:space="preserve">ATADURA DE CREPE 13 FIOS 8 X 1,50  PCT 12 </t>
  </si>
  <si>
    <t>GAZE ESTERIL 11 FIOS - 50x91</t>
  </si>
  <si>
    <t>GAZE NAO ESTÉRIL 09 FIOS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</si>
</sst>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gramas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44" fontId="0" fillId="0" borderId="0" xfId="1" applyFont="1"/>
    <xf numFmtId="1" fontId="0" fillId="0" borderId="0" xfId="0" applyNumberFormat="1" applyAlignment="1">
      <alignment horizontal="left"/>
    </xf>
    <xf numFmtId="0" fontId="0" fillId="0" borderId="0" xfId="0" applyFill="1"/>
    <xf numFmtId="164" fontId="0" fillId="0" borderId="0" xfId="0" applyNumberFormat="1" applyFill="1"/>
    <xf numFmtId="44" fontId="0" fillId="0" borderId="0" xfId="1" applyFont="1" applyFill="1"/>
    <xf numFmtId="0" fontId="0" fillId="0" borderId="0" xfId="0" applyNumberFormat="1"/>
    <xf numFmtId="0" fontId="0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8" fontId="4" fillId="0" borderId="2" xfId="0" applyNumberFormat="1" applyFont="1" applyBorder="1" applyAlignment="1">
      <alignment horizontal="center" vertical="center"/>
    </xf>
    <xf numFmtId="8" fontId="4" fillId="0" borderId="3" xfId="0" applyNumberFormat="1" applyFont="1" applyBorder="1" applyAlignment="1">
      <alignment horizontal="center" vertical="center"/>
    </xf>
    <xf numFmtId="8" fontId="4" fillId="0" borderId="4" xfId="0" applyNumberFormat="1" applyFont="1" applyBorder="1" applyAlignment="1">
      <alignment horizontal="center" vertical="center"/>
    </xf>
    <xf numFmtId="8" fontId="5" fillId="0" borderId="5" xfId="0" applyNumberFormat="1" applyFont="1" applyBorder="1" applyAlignment="1">
      <alignment horizontal="center" vertical="center"/>
    </xf>
    <xf numFmtId="8" fontId="5" fillId="0" borderId="3" xfId="0" applyNumberFormat="1" applyFont="1" applyBorder="1" applyAlignment="1">
      <alignment horizontal="center" vertical="center"/>
    </xf>
    <xf numFmtId="8" fontId="5" fillId="0" borderId="5" xfId="0" applyNumberFormat="1" applyFont="1" applyBorder="1" applyAlignment="1">
      <alignment horizontal="right" vertical="center"/>
    </xf>
    <xf numFmtId="8" fontId="5" fillId="0" borderId="3" xfId="0" applyNumberFormat="1" applyFont="1" applyBorder="1" applyAlignment="1">
      <alignment horizontal="right" vertical="center"/>
    </xf>
    <xf numFmtId="8" fontId="5" fillId="0" borderId="6" xfId="0" applyNumberFormat="1" applyFont="1" applyBorder="1" applyAlignment="1">
      <alignment horizontal="center" vertical="center"/>
    </xf>
    <xf numFmtId="8" fontId="5" fillId="0" borderId="7" xfId="0" applyNumberFormat="1" applyFont="1" applyBorder="1" applyAlignment="1">
      <alignment horizontal="center" vertical="center"/>
    </xf>
    <xf numFmtId="8" fontId="5" fillId="0" borderId="7" xfId="0" applyNumberFormat="1" applyFont="1" applyBorder="1" applyAlignment="1">
      <alignment horizontal="right" vertical="center"/>
    </xf>
    <xf numFmtId="8" fontId="4" fillId="0" borderId="3" xfId="0" applyNumberFormat="1" applyFont="1" applyBorder="1" applyAlignment="1">
      <alignment horizontal="center" vertical="center" wrapText="1"/>
    </xf>
    <xf numFmtId="8" fontId="4" fillId="0" borderId="8" xfId="0" applyNumberFormat="1" applyFont="1" applyBorder="1" applyAlignment="1">
      <alignment horizontal="center" vertical="center" wrapText="1"/>
    </xf>
    <xf numFmtId="8" fontId="4" fillId="0" borderId="2" xfId="0" applyNumberFormat="1" applyFont="1" applyBorder="1" applyAlignment="1">
      <alignment horizontal="center" vertical="center" wrapText="1"/>
    </xf>
    <xf numFmtId="44" fontId="5" fillId="0" borderId="9" xfId="1" applyFont="1" applyFill="1" applyBorder="1" applyAlignment="1">
      <alignment horizontal="center" vertical="center"/>
    </xf>
    <xf numFmtId="44" fontId="4" fillId="0" borderId="10" xfId="1" applyFont="1" applyFill="1" applyBorder="1" applyAlignment="1">
      <alignment horizontal="center" vertical="center"/>
    </xf>
    <xf numFmtId="44" fontId="5" fillId="0" borderId="3" xfId="1" applyFont="1" applyFill="1" applyBorder="1" applyAlignment="1">
      <alignment horizontal="center" vertical="center"/>
    </xf>
    <xf numFmtId="8" fontId="5" fillId="0" borderId="11" xfId="0" applyNumberFormat="1" applyFont="1" applyBorder="1" applyAlignment="1">
      <alignment horizontal="center" vertical="center"/>
    </xf>
    <xf numFmtId="44" fontId="4" fillId="0" borderId="3" xfId="1" applyFont="1" applyBorder="1" applyAlignment="1">
      <alignment horizontal="center" vertical="center" wrapText="1"/>
    </xf>
    <xf numFmtId="44" fontId="4" fillId="0" borderId="2" xfId="1" applyFont="1" applyBorder="1" applyAlignment="1">
      <alignment horizontal="center" vertical="center" wrapText="1"/>
    </xf>
    <xf numFmtId="44" fontId="4" fillId="0" borderId="8" xfId="1" applyFont="1" applyBorder="1" applyAlignment="1">
      <alignment horizontal="center" vertical="center" wrapText="1"/>
    </xf>
    <xf numFmtId="0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44" fontId="4" fillId="0" borderId="5" xfId="1" applyFont="1" applyBorder="1" applyAlignment="1">
      <alignment horizontal="center" vertical="center" wrapText="1"/>
    </xf>
    <xf numFmtId="44" fontId="4" fillId="0" borderId="3" xfId="1" applyFont="1" applyBorder="1" applyAlignment="1">
      <alignment horizontal="center" vertical="center"/>
    </xf>
    <xf numFmtId="44" fontId="4" fillId="0" borderId="2" xfId="1" applyFont="1" applyBorder="1" applyAlignment="1">
      <alignment horizontal="center" vertical="center"/>
    </xf>
    <xf numFmtId="44" fontId="4" fillId="0" borderId="4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numFmt numFmtId="164" formatCode="&quot;gramas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421B2D-B31B-4527-AFD6-AE2D0A530A0F}" autoFormatId="16" applyNumberFormats="0" applyBorderFormats="0" applyFontFormats="0" applyPatternFormats="0" applyAlignmentFormats="0" applyWidthHeightFormats="0">
  <queryTableRefresh nextId="14" unboundColumnsRight="1">
    <queryTableFields count="8">
      <queryTableField id="2" name="Cód." tableColumnId="2"/>
      <queryTableField id="1" name="Grupo" tableColumnId="1"/>
      <queryTableField id="3" name="Descrição" tableColumnId="3"/>
      <queryTableField id="4" name="Linha" tableColumnId="4"/>
      <queryTableField id="5" name="Peso.2" tableColumnId="5"/>
      <queryTableField id="6" name="Cx Embarque" tableColumnId="6"/>
      <queryTableField id="7" name="Coluna1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9586E-A189-44D8-9C58-8F69F4EC7CA4}" name="Tabela14" displayName="Tabela14" ref="A1:H419" tableType="queryTable" totalsRowShown="0">
  <autoFilter ref="A1:H419" xr:uid="{5499586E-A189-44D8-9C58-8F69F4EC7CA4}">
    <filterColumn colId="1">
      <filters>
        <filter val="ATADURA DE CREPE - FARMA"/>
        <filter val="ATADURA DE CREPE - HOSPITALAR"/>
        <filter val="ATADURAS LINHA FARMA"/>
        <filter val="ATADURAS LINHA HOSPITALAR"/>
      </filters>
    </filterColumn>
  </autoFilter>
  <tableColumns count="8">
    <tableColumn id="2" xr3:uid="{3202AFED-4A11-4AD5-8FCF-B57F6545F53A}" uniqueName="2" name="ID_COD" queryTableFieldId="2" dataDxfId="16"/>
    <tableColumn id="1" xr3:uid="{5387F357-AA02-4B91-B30F-AB45B122F19D}" uniqueName="1" name="Grupo" queryTableFieldId="1" dataDxfId="15"/>
    <tableColumn id="3" xr3:uid="{AF8B37DC-8D9E-415B-8540-844DCFD3C2C2}" uniqueName="3" name="Descrição" queryTableFieldId="3" dataDxfId="14"/>
    <tableColumn id="4" xr3:uid="{15BCD1FE-6E96-4337-BF2C-1D0977BEE2EA}" uniqueName="4" name="Linha" queryTableFieldId="4" dataDxfId="13"/>
    <tableColumn id="5" xr3:uid="{5AEAA593-AC57-42D0-80C6-A7ADC3170E25}" uniqueName="5" name="Gramatura" queryTableFieldId="5" dataDxfId="12"/>
    <tableColumn id="6" xr3:uid="{F34DF2E2-4CF9-47F8-995C-D81C98BE9A01}" uniqueName="6" name="CX_EMB" queryTableFieldId="6"/>
    <tableColumn id="7" xr3:uid="{A488A8F9-38D4-4F27-9DEA-CC2F81D9C55C}" uniqueName="7" name="DESCRICAONF" queryTableFieldId="7"/>
    <tableColumn id="9" xr3:uid="{079BA53C-EB2B-4DA2-B65C-026F685E0107}" uniqueName="9" name="PRECO" queryTableFieldId="9" dataCellStyle="Moed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BEE36-9DBA-4905-80A4-0323F2DCF478}" name="Tabela1" displayName="Tabela1" ref="A1:H87" totalsRowShown="0">
  <autoFilter ref="A1:H87" xr:uid="{27DBEE36-9DBA-4905-80A4-0323F2DCF478}"/>
  <tableColumns count="8">
    <tableColumn id="1" xr3:uid="{A94A85EC-B805-4EC8-9C21-A01302433252}" name="Cod"/>
    <tableColumn id="2" xr3:uid="{87878281-AC86-489D-A241-9AD749D55E55}" name="Produto"/>
    <tableColumn id="3" xr3:uid="{18F95C83-2188-4A1E-A0B8-BFAA71296403}" name="Apresentacao"/>
    <tableColumn id="4" xr3:uid="{F983C176-9E78-49AC-82B3-8AC9929A1254}" name="Fios"/>
    <tableColumn id="5" xr3:uid="{03935235-5821-4D37-9442-36D791826C89}" name="Unid_Caixa"/>
    <tableColumn id="6" xr3:uid="{D35B3B9C-9008-4300-92B8-8167B4A2CCB6}" name="Linha"/>
    <tableColumn id="7" xr3:uid="{AC4BD377-A729-4B2F-8A6E-77B18350EAA3}" name="Gramat"/>
    <tableColumn id="8" xr3:uid="{774C2D1E-0273-4A4C-B69B-084FE44C378A}" name="Preco" dataDxfId="11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4AB22-CC81-46A5-8E9D-BA15DF99BBB0}" name="Tabela2" displayName="Tabela2" ref="A1:G400" totalsRowShown="0" headerRowDxfId="10" headerRowBorderDxfId="9" tableBorderDxfId="8" totalsRowBorderDxfId="7">
  <autoFilter ref="A1:G400" xr:uid="{B6E4AB22-CC81-46A5-8E9D-BA15DF99BBB0}">
    <filterColumn colId="5">
      <filters blank="1">
        <filter val="0"/>
      </filters>
    </filterColumn>
  </autoFilter>
  <tableColumns count="7">
    <tableColumn id="1" xr3:uid="{49F9A101-1F65-4A1E-A291-21E325604A24}" name="COD" dataDxfId="6"/>
    <tableColumn id="2" xr3:uid="{B6B5DE3B-A99A-4156-AA8B-3D83F4E34F3F}" name="DESCRIÇÃO" dataDxfId="5"/>
    <tableColumn id="3" xr3:uid="{3D38594D-4732-42D1-8F09-82A15D4753CB}" name="PESO" dataDxfId="4"/>
    <tableColumn id="4" xr3:uid="{73AD5E7C-295D-4E24-AF22-1C03AAA6FE04}" name="TIPO" dataDxfId="3"/>
    <tableColumn id="5" xr3:uid="{897DAD0D-6A3C-443B-BCC5-B43C099F2C1B}" name="VOL." dataDxfId="2"/>
    <tableColumn id="6" xr3:uid="{5A2A3043-C96F-46DD-B142-DEB2458C1999}" name="UNID." dataDxfId="1"/>
    <tableColumn id="7" xr3:uid="{9BDA27C3-1490-4741-A5E9-29B583E36E56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C1FE-16FA-4E4B-B34E-F84713378B87}">
  <dimension ref="A1:H419"/>
  <sheetViews>
    <sheetView tabSelected="1" workbookViewId="0">
      <pane ySplit="1" topLeftCell="A197" activePane="bottomLeft" state="frozen"/>
      <selection pane="bottomLeft" activeCell="G409" sqref="G409"/>
    </sheetView>
  </sheetViews>
  <sheetFormatPr defaultRowHeight="15" x14ac:dyDescent="0.25"/>
  <cols>
    <col min="1" max="1" width="10" bestFit="1" customWidth="1"/>
    <col min="2" max="2" width="55.140625" bestFit="1" customWidth="1"/>
    <col min="3" max="3" width="36.7109375" bestFit="1" customWidth="1"/>
    <col min="4" max="4" width="24.5703125" bestFit="1" customWidth="1"/>
    <col min="5" max="5" width="12.7109375" style="1" bestFit="1" customWidth="1"/>
    <col min="6" max="6" width="10.5703125" bestFit="1" customWidth="1"/>
    <col min="7" max="7" width="55.140625" bestFit="1" customWidth="1"/>
    <col min="8" max="8" width="10.5703125" bestFit="1" customWidth="1"/>
  </cols>
  <sheetData>
    <row r="1" spans="1:8" x14ac:dyDescent="0.25">
      <c r="A1" t="s">
        <v>340</v>
      </c>
      <c r="B1" t="s">
        <v>0</v>
      </c>
      <c r="C1" t="s">
        <v>2</v>
      </c>
      <c r="D1" t="s">
        <v>1</v>
      </c>
      <c r="E1" s="1" t="s">
        <v>339</v>
      </c>
      <c r="F1" t="s">
        <v>342</v>
      </c>
      <c r="G1" t="s">
        <v>341</v>
      </c>
      <c r="H1" t="s">
        <v>440</v>
      </c>
    </row>
    <row r="2" spans="1:8" hidden="1" x14ac:dyDescent="0.25">
      <c r="A2">
        <v>1</v>
      </c>
      <c r="B2" t="s">
        <v>3</v>
      </c>
      <c r="C2" t="s">
        <v>5</v>
      </c>
      <c r="D2" t="s">
        <v>4</v>
      </c>
      <c r="E2" s="1" t="s">
        <v>322</v>
      </c>
      <c r="F2">
        <f>VLOOKUP(Tabela14[[#This Row],[ID_COD]],Tabela2[],6,0)</f>
        <v>1000</v>
      </c>
      <c r="G2" t="s">
        <v>254</v>
      </c>
      <c r="H2" s="2">
        <f>VLOOKUP(A2,'Tabela de preços'!A1:H87,8,FALSE)</f>
        <v>0.41039999999999999</v>
      </c>
    </row>
    <row r="3" spans="1:8" hidden="1" x14ac:dyDescent="0.25">
      <c r="A3">
        <v>2</v>
      </c>
      <c r="B3" t="s">
        <v>3</v>
      </c>
      <c r="C3" t="s">
        <v>6</v>
      </c>
      <c r="D3" t="s">
        <v>4</v>
      </c>
      <c r="E3" s="1" t="s">
        <v>322</v>
      </c>
      <c r="F3">
        <f>VLOOKUP(Tabela14[[#This Row],[ID_COD]],Tabela2[],6,0)</f>
        <v>1000</v>
      </c>
      <c r="G3" t="s">
        <v>258</v>
      </c>
      <c r="H3" s="2">
        <f>VLOOKUP(A3,'Tabela de preços'!A2:H88,8,FALSE)</f>
        <v>0.43200000000000005</v>
      </c>
    </row>
    <row r="4" spans="1:8" hidden="1" x14ac:dyDescent="0.25">
      <c r="A4">
        <v>3</v>
      </c>
      <c r="B4" t="s">
        <v>3</v>
      </c>
      <c r="C4" t="s">
        <v>7</v>
      </c>
      <c r="D4" t="s">
        <v>4</v>
      </c>
      <c r="E4" s="1" t="s">
        <v>322</v>
      </c>
      <c r="F4">
        <f>VLOOKUP(Tabela14[[#This Row],[ID_COD]],Tabela2[],6,0)</f>
        <v>1000</v>
      </c>
      <c r="G4" t="s">
        <v>264</v>
      </c>
      <c r="H4" s="2">
        <f>VLOOKUP(A4,'Tabela de preços'!A3:H89,8,FALSE)</f>
        <v>0.4536</v>
      </c>
    </row>
    <row r="5" spans="1:8" hidden="1" x14ac:dyDescent="0.25">
      <c r="A5">
        <v>152</v>
      </c>
      <c r="B5" t="s">
        <v>3</v>
      </c>
      <c r="C5" t="s">
        <v>5</v>
      </c>
      <c r="D5" t="s">
        <v>8</v>
      </c>
      <c r="E5" s="1" t="s">
        <v>322</v>
      </c>
      <c r="F5">
        <f>VLOOKUP(Tabela14[[#This Row],[ID_COD]],Tabela2[],6,0)</f>
        <v>1000</v>
      </c>
      <c r="G5" t="s">
        <v>255</v>
      </c>
      <c r="H5" s="2">
        <f>VLOOKUP(A5,'Tabela de preços'!A4:H90,8,FALSE)</f>
        <v>0.47520000000000001</v>
      </c>
    </row>
    <row r="6" spans="1:8" hidden="1" x14ac:dyDescent="0.25">
      <c r="A6">
        <v>153</v>
      </c>
      <c r="B6" t="s">
        <v>3</v>
      </c>
      <c r="C6" t="s">
        <v>6</v>
      </c>
      <c r="D6" t="s">
        <v>8</v>
      </c>
      <c r="E6" s="1" t="s">
        <v>322</v>
      </c>
      <c r="F6">
        <f>VLOOKUP(Tabela14[[#This Row],[ID_COD]],Tabela2[],6,0)</f>
        <v>1000</v>
      </c>
      <c r="G6" t="s">
        <v>256</v>
      </c>
      <c r="H6" s="2">
        <f>VLOOKUP(A6,'Tabela de preços'!A5:H91,8,FALSE)</f>
        <v>0.50759999999999994</v>
      </c>
    </row>
    <row r="7" spans="1:8" hidden="1" x14ac:dyDescent="0.25">
      <c r="A7">
        <v>154</v>
      </c>
      <c r="B7" t="s">
        <v>3</v>
      </c>
      <c r="C7" t="s">
        <v>7</v>
      </c>
      <c r="D7" t="s">
        <v>8</v>
      </c>
      <c r="E7" s="1" t="s">
        <v>322</v>
      </c>
      <c r="F7">
        <f>VLOOKUP(Tabela14[[#This Row],[ID_COD]],Tabela2[],6,0)</f>
        <v>1000</v>
      </c>
      <c r="G7" t="s">
        <v>259</v>
      </c>
      <c r="H7" s="2">
        <f>VLOOKUP(A7,'Tabela de preços'!A6:H92,8,FALSE)</f>
        <v>0.5292</v>
      </c>
    </row>
    <row r="8" spans="1:8" hidden="1" x14ac:dyDescent="0.25">
      <c r="A8">
        <v>1641</v>
      </c>
      <c r="B8" t="s">
        <v>3</v>
      </c>
      <c r="C8" t="s">
        <v>5</v>
      </c>
      <c r="D8" t="s">
        <v>9</v>
      </c>
      <c r="E8" s="1" t="s">
        <v>322</v>
      </c>
      <c r="F8">
        <f>VLOOKUP(Tabela14[[#This Row],[ID_COD]],Tabela2[],6,0)</f>
        <v>0</v>
      </c>
      <c r="G8" t="s">
        <v>253</v>
      </c>
      <c r="H8" s="2">
        <f>VLOOKUP(A8,'Tabela de preços'!A7:H93,8,FALSE)</f>
        <v>0.64800000000000002</v>
      </c>
    </row>
    <row r="9" spans="1:8" hidden="1" x14ac:dyDescent="0.25">
      <c r="A9">
        <v>1642</v>
      </c>
      <c r="B9" t="s">
        <v>3</v>
      </c>
      <c r="C9" t="s">
        <v>6</v>
      </c>
      <c r="D9" t="s">
        <v>9</v>
      </c>
      <c r="E9" s="1" t="s">
        <v>322</v>
      </c>
      <c r="F9">
        <f>VLOOKUP(Tabela14[[#This Row],[ID_COD]],Tabela2[],6,0)</f>
        <v>900</v>
      </c>
      <c r="G9" t="s">
        <v>257</v>
      </c>
      <c r="H9" s="2">
        <f>VLOOKUP(A9,'Tabela de preços'!A8:H94,8,FALSE)</f>
        <v>0.66959999999999997</v>
      </c>
    </row>
    <row r="10" spans="1:8" hidden="1" x14ac:dyDescent="0.25">
      <c r="A10">
        <v>1643</v>
      </c>
      <c r="B10" t="s">
        <v>3</v>
      </c>
      <c r="C10" t="s">
        <v>7</v>
      </c>
      <c r="D10" t="s">
        <v>9</v>
      </c>
      <c r="E10" s="1" t="s">
        <v>322</v>
      </c>
      <c r="F10">
        <f>VLOOKUP(Tabela14[[#This Row],[ID_COD]],Tabela2[],6,0)</f>
        <v>900</v>
      </c>
      <c r="G10" t="s">
        <v>107</v>
      </c>
      <c r="H10" s="2">
        <f>VLOOKUP(A10,'Tabela de preços'!A9:H95,8,FALSE)</f>
        <v>0.70200000000000007</v>
      </c>
    </row>
    <row r="11" spans="1:8" hidden="1" x14ac:dyDescent="0.25">
      <c r="A11">
        <v>1587</v>
      </c>
      <c r="B11" t="s">
        <v>10</v>
      </c>
      <c r="C11" t="s">
        <v>11</v>
      </c>
      <c r="D11" t="s">
        <v>4</v>
      </c>
      <c r="E11" s="1" t="s">
        <v>322</v>
      </c>
      <c r="F11">
        <f>VLOOKUP(Tabela14[[#This Row],[ID_COD]],Tabela2[],6,0)</f>
        <v>300</v>
      </c>
      <c r="G11" t="s">
        <v>175</v>
      </c>
      <c r="H11" s="2">
        <f>VLOOKUP(A11,'Tabela de preços'!A10:H96,8,FALSE)</f>
        <v>2.8839999999999999</v>
      </c>
    </row>
    <row r="12" spans="1:8" hidden="1" x14ac:dyDescent="0.25">
      <c r="A12">
        <v>1588</v>
      </c>
      <c r="B12" t="s">
        <v>10</v>
      </c>
      <c r="C12" t="s">
        <v>12</v>
      </c>
      <c r="D12" t="s">
        <v>4</v>
      </c>
      <c r="E12" s="1" t="s">
        <v>322</v>
      </c>
      <c r="F12">
        <f>VLOOKUP(Tabela14[[#This Row],[ID_COD]],Tabela2[],6,0)</f>
        <v>150</v>
      </c>
      <c r="G12" t="s">
        <v>106</v>
      </c>
      <c r="H12" s="2">
        <f>VLOOKUP(A12,'Tabela de preços'!A11:H97,8,FALSE)</f>
        <v>5.3353999999999999</v>
      </c>
    </row>
    <row r="13" spans="1:8" hidden="1" x14ac:dyDescent="0.25">
      <c r="A13">
        <v>1586</v>
      </c>
      <c r="B13" t="s">
        <v>10</v>
      </c>
      <c r="C13" t="s">
        <v>13</v>
      </c>
      <c r="D13" t="s">
        <v>4</v>
      </c>
      <c r="E13" s="1" t="s">
        <v>322</v>
      </c>
      <c r="F13">
        <f>VLOOKUP(Tabela14[[#This Row],[ID_COD]],Tabela2[],6,0)</f>
        <v>12</v>
      </c>
      <c r="G13" t="s">
        <v>177</v>
      </c>
      <c r="H13" s="2">
        <v>49.5</v>
      </c>
    </row>
    <row r="14" spans="1:8" hidden="1" x14ac:dyDescent="0.25">
      <c r="A14">
        <v>157</v>
      </c>
      <c r="B14" t="s">
        <v>10</v>
      </c>
      <c r="C14" t="s">
        <v>11</v>
      </c>
      <c r="D14" t="s">
        <v>8</v>
      </c>
      <c r="E14" s="1" t="s">
        <v>322</v>
      </c>
      <c r="F14">
        <f>VLOOKUP(Tabela14[[#This Row],[ID_COD]],Tabela2[],6,0)</f>
        <v>300</v>
      </c>
      <c r="G14" t="s">
        <v>174</v>
      </c>
      <c r="H14" s="2" t="e">
        <f>VLOOKUP(A14,'Tabela de preços'!A13:H99,8,FALSE)</f>
        <v>#N/A</v>
      </c>
    </row>
    <row r="15" spans="1:8" hidden="1" x14ac:dyDescent="0.25">
      <c r="A15">
        <v>158</v>
      </c>
      <c r="B15" t="s">
        <v>10</v>
      </c>
      <c r="C15" t="s">
        <v>12</v>
      </c>
      <c r="D15" t="s">
        <v>8</v>
      </c>
      <c r="E15" s="1" t="s">
        <v>322</v>
      </c>
      <c r="F15">
        <f>VLOOKUP(Tabela14[[#This Row],[ID_COD]],Tabela2[],6,0)</f>
        <v>150</v>
      </c>
      <c r="G15" t="s">
        <v>176</v>
      </c>
      <c r="H15" s="2">
        <f>VLOOKUP(A15,'Tabela de preços'!A14:H100,8,FALSE)</f>
        <v>7.1894</v>
      </c>
    </row>
    <row r="16" spans="1:8" hidden="1" x14ac:dyDescent="0.25">
      <c r="A16">
        <v>155</v>
      </c>
      <c r="B16" t="s">
        <v>10</v>
      </c>
      <c r="C16" t="s">
        <v>13</v>
      </c>
      <c r="D16" t="s">
        <v>8</v>
      </c>
      <c r="E16" s="1" t="s">
        <v>322</v>
      </c>
      <c r="F16">
        <f>VLOOKUP(Tabela14[[#This Row],[ID_COD]],Tabela2[],6,0)</f>
        <v>0</v>
      </c>
      <c r="G16" t="s">
        <v>179</v>
      </c>
      <c r="H16" s="2">
        <v>71</v>
      </c>
    </row>
    <row r="17" spans="1:8" hidden="1" x14ac:dyDescent="0.25">
      <c r="A17">
        <v>1639</v>
      </c>
      <c r="B17" t="s">
        <v>10</v>
      </c>
      <c r="C17" t="s">
        <v>11</v>
      </c>
      <c r="D17" t="s">
        <v>9</v>
      </c>
      <c r="E17" s="1" t="s">
        <v>322</v>
      </c>
      <c r="F17">
        <f>VLOOKUP(Tabela14[[#This Row],[ID_COD]],Tabela2[],6,0)</f>
        <v>0</v>
      </c>
      <c r="G17" t="s">
        <v>174</v>
      </c>
      <c r="H17" s="2">
        <f>VLOOKUP(A17,'Tabela de preços'!A16:H102,8,FALSE)</f>
        <v>4.4084000000000003</v>
      </c>
    </row>
    <row r="18" spans="1:8" hidden="1" x14ac:dyDescent="0.25">
      <c r="A18">
        <v>1640</v>
      </c>
      <c r="B18" t="s">
        <v>10</v>
      </c>
      <c r="C18" t="s">
        <v>12</v>
      </c>
      <c r="D18" t="s">
        <v>9</v>
      </c>
      <c r="E18" s="1" t="s">
        <v>322</v>
      </c>
      <c r="F18">
        <f>VLOOKUP(Tabela14[[#This Row],[ID_COD]],Tabela2[],6,0)</f>
        <v>150</v>
      </c>
      <c r="G18" t="s">
        <v>176</v>
      </c>
      <c r="H18" s="2">
        <v>7.96</v>
      </c>
    </row>
    <row r="19" spans="1:8" hidden="1" x14ac:dyDescent="0.25">
      <c r="A19">
        <v>1209</v>
      </c>
      <c r="B19" t="s">
        <v>10</v>
      </c>
      <c r="C19" t="s">
        <v>13</v>
      </c>
      <c r="D19" t="s">
        <v>9</v>
      </c>
      <c r="E19" s="1" t="s">
        <v>322</v>
      </c>
      <c r="F19">
        <f>VLOOKUP(Tabela14[[#This Row],[ID_COD]],Tabela2[],6,0)</f>
        <v>12</v>
      </c>
      <c r="G19" t="s">
        <v>178</v>
      </c>
      <c r="H19" s="2">
        <v>86.5</v>
      </c>
    </row>
    <row r="20" spans="1:8" hidden="1" x14ac:dyDescent="0.25">
      <c r="A20">
        <v>5</v>
      </c>
      <c r="B20" t="s">
        <v>14</v>
      </c>
      <c r="C20" t="s">
        <v>15</v>
      </c>
      <c r="D20" t="s">
        <v>4</v>
      </c>
      <c r="E20" s="1" t="s">
        <v>294</v>
      </c>
      <c r="F20">
        <f>VLOOKUP(Tabela14[[#This Row],[ID_COD]],Tabela2[],6,0)</f>
        <v>0</v>
      </c>
      <c r="G20" t="s">
        <v>265</v>
      </c>
      <c r="H20" s="2">
        <f>(Tabela14[[#This Row],[Gramatura]]*6.99)/105</f>
        <v>4.66</v>
      </c>
    </row>
    <row r="21" spans="1:8" hidden="1" x14ac:dyDescent="0.25">
      <c r="A21">
        <v>6</v>
      </c>
      <c r="B21" t="s">
        <v>14</v>
      </c>
      <c r="C21" t="s">
        <v>15</v>
      </c>
      <c r="D21" t="s">
        <v>4</v>
      </c>
      <c r="E21" s="1" t="s">
        <v>314</v>
      </c>
      <c r="F21">
        <f>VLOOKUP(Tabela14[[#This Row],[ID_COD]],Tabela2[],6,0)</f>
        <v>0</v>
      </c>
      <c r="G21" t="s">
        <v>265</v>
      </c>
      <c r="H21" s="2">
        <f>(Tabela14[[#This Row],[Gramatura]]*6.99)/105</f>
        <v>5.3257142857142865</v>
      </c>
    </row>
    <row r="22" spans="1:8" hidden="1" x14ac:dyDescent="0.25">
      <c r="A22">
        <v>7</v>
      </c>
      <c r="B22" t="s">
        <v>14</v>
      </c>
      <c r="C22" t="s">
        <v>15</v>
      </c>
      <c r="D22" t="s">
        <v>4</v>
      </c>
      <c r="E22" s="1" t="s">
        <v>198</v>
      </c>
      <c r="F22">
        <f>VLOOKUP(Tabela14[[#This Row],[ID_COD]],Tabela2[],6,0)</f>
        <v>0</v>
      </c>
      <c r="G22" t="s">
        <v>266</v>
      </c>
      <c r="H22" s="2">
        <f>(Tabela14[[#This Row],[Gramatura]]*6.99)/105</f>
        <v>5.991428571428572</v>
      </c>
    </row>
    <row r="23" spans="1:8" hidden="1" x14ac:dyDescent="0.25">
      <c r="A23">
        <v>8</v>
      </c>
      <c r="B23" t="s">
        <v>14</v>
      </c>
      <c r="C23" t="s">
        <v>15</v>
      </c>
      <c r="D23" t="s">
        <v>4</v>
      </c>
      <c r="E23" s="3">
        <v>105</v>
      </c>
      <c r="F23">
        <f>VLOOKUP(Tabela14[[#This Row],[ID_COD]],Tabela2[],6,0)</f>
        <v>72</v>
      </c>
      <c r="G23" t="s">
        <v>265</v>
      </c>
      <c r="H23" s="2">
        <v>6.99</v>
      </c>
    </row>
    <row r="24" spans="1:8" hidden="1" x14ac:dyDescent="0.25">
      <c r="A24">
        <v>9</v>
      </c>
      <c r="B24" t="s">
        <v>14</v>
      </c>
      <c r="C24" t="s">
        <v>15</v>
      </c>
      <c r="D24" t="s">
        <v>4</v>
      </c>
      <c r="E24" s="1" t="s">
        <v>224</v>
      </c>
      <c r="F24">
        <f>VLOOKUP(Tabela14[[#This Row],[ID_COD]],Tabela2[],6,0)</f>
        <v>0</v>
      </c>
      <c r="G24" t="s">
        <v>270</v>
      </c>
      <c r="H24" s="2">
        <v>7.322857142857143</v>
      </c>
    </row>
    <row r="25" spans="1:8" hidden="1" x14ac:dyDescent="0.25">
      <c r="A25">
        <v>10</v>
      </c>
      <c r="B25" t="s">
        <v>14</v>
      </c>
      <c r="C25" t="s">
        <v>15</v>
      </c>
      <c r="D25" t="s">
        <v>4</v>
      </c>
      <c r="E25" s="1" t="s">
        <v>245</v>
      </c>
      <c r="F25">
        <f>VLOOKUP(Tabela14[[#This Row],[ID_COD]],Tabela2[],6,0)</f>
        <v>60</v>
      </c>
      <c r="G25" t="s">
        <v>271</v>
      </c>
      <c r="H25" s="2">
        <v>7.9885714285714293</v>
      </c>
    </row>
    <row r="26" spans="1:8" hidden="1" x14ac:dyDescent="0.25">
      <c r="A26">
        <v>11</v>
      </c>
      <c r="B26" t="s">
        <v>14</v>
      </c>
      <c r="C26" t="s">
        <v>15</v>
      </c>
      <c r="D26" t="s">
        <v>4</v>
      </c>
      <c r="E26" s="1" t="s">
        <v>190</v>
      </c>
      <c r="F26">
        <f>VLOOKUP(Tabela14[[#This Row],[ID_COD]],Tabela2[],6,0)</f>
        <v>50</v>
      </c>
      <c r="G26" t="s">
        <v>272</v>
      </c>
      <c r="H26" s="2">
        <v>8.6542857142857148</v>
      </c>
    </row>
    <row r="27" spans="1:8" hidden="1" x14ac:dyDescent="0.25">
      <c r="A27">
        <v>12</v>
      </c>
      <c r="B27" t="s">
        <v>14</v>
      </c>
      <c r="C27" t="s">
        <v>15</v>
      </c>
      <c r="D27" t="s">
        <v>4</v>
      </c>
      <c r="E27" s="1" t="s">
        <v>214</v>
      </c>
      <c r="F27">
        <f>VLOOKUP(Tabela14[[#This Row],[ID_COD]],Tabela2[],6,0)</f>
        <v>0</v>
      </c>
      <c r="G27" t="s">
        <v>273</v>
      </c>
      <c r="H27" s="2">
        <v>9.32</v>
      </c>
    </row>
    <row r="28" spans="1:8" hidden="1" x14ac:dyDescent="0.25">
      <c r="A28">
        <v>13</v>
      </c>
      <c r="B28" t="s">
        <v>14</v>
      </c>
      <c r="C28" t="s">
        <v>15</v>
      </c>
      <c r="D28" t="s">
        <v>4</v>
      </c>
      <c r="E28" s="1" t="s">
        <v>240</v>
      </c>
      <c r="F28">
        <f>VLOOKUP(Tabela14[[#This Row],[ID_COD]],Tabela2[],6,0)</f>
        <v>50</v>
      </c>
      <c r="G28" t="s">
        <v>274</v>
      </c>
      <c r="H28" s="2">
        <v>10.88</v>
      </c>
    </row>
    <row r="29" spans="1:8" hidden="1" x14ac:dyDescent="0.25">
      <c r="A29">
        <v>14</v>
      </c>
      <c r="B29" t="s">
        <v>14</v>
      </c>
      <c r="C29" t="s">
        <v>15</v>
      </c>
      <c r="D29" t="s">
        <v>4</v>
      </c>
      <c r="E29" s="1" t="s">
        <v>138</v>
      </c>
      <c r="F29">
        <f>VLOOKUP(Tabela14[[#This Row],[ID_COD]],Tabela2[],6,0)</f>
        <v>0</v>
      </c>
      <c r="G29" t="s">
        <v>275</v>
      </c>
      <c r="H29" s="2">
        <v>10.651428571428573</v>
      </c>
    </row>
    <row r="30" spans="1:8" hidden="1" x14ac:dyDescent="0.25">
      <c r="A30">
        <v>15</v>
      </c>
      <c r="B30" t="s">
        <v>14</v>
      </c>
      <c r="C30" t="s">
        <v>15</v>
      </c>
      <c r="D30" t="s">
        <v>4</v>
      </c>
      <c r="E30" s="1" t="s">
        <v>166</v>
      </c>
      <c r="F30">
        <f>VLOOKUP(Tabela14[[#This Row],[ID_COD]],Tabela2[],6,0)</f>
        <v>0</v>
      </c>
      <c r="G30" t="s">
        <v>276</v>
      </c>
      <c r="H30" s="2">
        <v>11.317142857142857</v>
      </c>
    </row>
    <row r="31" spans="1:8" hidden="1" x14ac:dyDescent="0.25">
      <c r="A31">
        <v>16</v>
      </c>
      <c r="B31" t="s">
        <v>14</v>
      </c>
      <c r="C31" t="s">
        <v>15</v>
      </c>
      <c r="D31" t="s">
        <v>4</v>
      </c>
      <c r="E31" s="1" t="s">
        <v>323</v>
      </c>
      <c r="F31">
        <f>VLOOKUP(Tabela14[[#This Row],[ID_COD]],Tabela2[],6,0)</f>
        <v>40</v>
      </c>
      <c r="G31" t="s">
        <v>277</v>
      </c>
      <c r="H31" s="2">
        <v>11.982857142857144</v>
      </c>
    </row>
    <row r="32" spans="1:8" hidden="1" x14ac:dyDescent="0.25">
      <c r="A32">
        <v>17</v>
      </c>
      <c r="B32" t="s">
        <v>14</v>
      </c>
      <c r="C32" t="s">
        <v>15</v>
      </c>
      <c r="D32" t="s">
        <v>4</v>
      </c>
      <c r="E32" s="1" t="s">
        <v>324</v>
      </c>
      <c r="F32">
        <f>VLOOKUP(Tabela14[[#This Row],[ID_COD]],Tabela2[],6,0)</f>
        <v>0</v>
      </c>
      <c r="G32" t="s">
        <v>278</v>
      </c>
      <c r="H32" s="2">
        <v>12.648571428571429</v>
      </c>
    </row>
    <row r="33" spans="1:8" hidden="1" x14ac:dyDescent="0.25">
      <c r="A33">
        <v>18</v>
      </c>
      <c r="B33" t="s">
        <v>14</v>
      </c>
      <c r="C33" t="s">
        <v>15</v>
      </c>
      <c r="D33" t="s">
        <v>4</v>
      </c>
      <c r="E33" s="1" t="s">
        <v>325</v>
      </c>
      <c r="F33">
        <f>VLOOKUP(Tabela14[[#This Row],[ID_COD]],Tabela2[],6,0)</f>
        <v>0</v>
      </c>
      <c r="G33" t="s">
        <v>279</v>
      </c>
      <c r="H33" s="2">
        <v>13.314285714285715</v>
      </c>
    </row>
    <row r="34" spans="1:8" hidden="1" x14ac:dyDescent="0.25">
      <c r="A34">
        <v>51</v>
      </c>
      <c r="B34" t="s">
        <v>14</v>
      </c>
      <c r="C34" t="s">
        <v>15</v>
      </c>
      <c r="D34" t="s">
        <v>8</v>
      </c>
      <c r="E34" s="1" t="s">
        <v>326</v>
      </c>
      <c r="F34">
        <f>VLOOKUP(Tabela14[[#This Row],[ID_COD]],Tabela2[],6,0)</f>
        <v>40</v>
      </c>
      <c r="G34" t="s">
        <v>267</v>
      </c>
      <c r="H34" s="2">
        <v>14.46</v>
      </c>
    </row>
    <row r="35" spans="1:8" hidden="1" x14ac:dyDescent="0.25">
      <c r="A35">
        <v>52</v>
      </c>
      <c r="B35" t="s">
        <v>14</v>
      </c>
      <c r="C35" t="s">
        <v>15</v>
      </c>
      <c r="D35" t="s">
        <v>8</v>
      </c>
      <c r="E35" s="1" t="s">
        <v>327</v>
      </c>
      <c r="F35">
        <f>VLOOKUP(Tabela14[[#This Row],[ID_COD]],Tabela2[],6,0)</f>
        <v>0</v>
      </c>
      <c r="G35" t="s">
        <v>268</v>
      </c>
      <c r="H35" s="2">
        <v>15.148571428571429</v>
      </c>
    </row>
    <row r="36" spans="1:8" hidden="1" x14ac:dyDescent="0.25">
      <c r="A36">
        <v>53</v>
      </c>
      <c r="B36" t="s">
        <v>14</v>
      </c>
      <c r="C36" t="s">
        <v>15</v>
      </c>
      <c r="D36" t="s">
        <v>8</v>
      </c>
      <c r="E36" s="1" t="s">
        <v>328</v>
      </c>
      <c r="F36">
        <f>VLOOKUP(Tabela14[[#This Row],[ID_COD]],Tabela2[],6,0)</f>
        <v>0</v>
      </c>
      <c r="G36" t="s">
        <v>265</v>
      </c>
      <c r="H36" s="2">
        <v>15.837142857142858</v>
      </c>
    </row>
    <row r="37" spans="1:8" hidden="1" x14ac:dyDescent="0.25">
      <c r="A37">
        <v>54</v>
      </c>
      <c r="B37" t="s">
        <v>14</v>
      </c>
      <c r="C37" t="s">
        <v>15</v>
      </c>
      <c r="D37" t="s">
        <v>8</v>
      </c>
      <c r="E37" s="1" t="s">
        <v>329</v>
      </c>
      <c r="F37">
        <f>VLOOKUP(Tabela14[[#This Row],[ID_COD]],Tabela2[],6,0)</f>
        <v>0</v>
      </c>
      <c r="G37" t="s">
        <v>269</v>
      </c>
      <c r="H37" s="2">
        <v>16.525714285714287</v>
      </c>
    </row>
    <row r="38" spans="1:8" hidden="1" x14ac:dyDescent="0.25">
      <c r="A38">
        <v>55</v>
      </c>
      <c r="B38" t="s">
        <v>14</v>
      </c>
      <c r="C38" t="s">
        <v>15</v>
      </c>
      <c r="D38" t="s">
        <v>8</v>
      </c>
      <c r="E38" s="1" t="s">
        <v>330</v>
      </c>
      <c r="F38">
        <f>VLOOKUP(Tabela14[[#This Row],[ID_COD]],Tabela2[],6,0)</f>
        <v>30</v>
      </c>
      <c r="G38" t="s">
        <v>270</v>
      </c>
      <c r="H38" s="2">
        <v>17.214285714285715</v>
      </c>
    </row>
    <row r="39" spans="1:8" hidden="1" x14ac:dyDescent="0.25">
      <c r="A39">
        <v>56</v>
      </c>
      <c r="B39" t="s">
        <v>14</v>
      </c>
      <c r="C39" t="s">
        <v>15</v>
      </c>
      <c r="D39" t="s">
        <v>8</v>
      </c>
      <c r="E39" s="1" t="s">
        <v>262</v>
      </c>
      <c r="F39">
        <f>VLOOKUP(Tabela14[[#This Row],[ID_COD]],Tabela2[],6,0)</f>
        <v>0</v>
      </c>
      <c r="G39" t="s">
        <v>271</v>
      </c>
      <c r="H39" s="2">
        <v>17.902857142857144</v>
      </c>
    </row>
    <row r="40" spans="1:8" hidden="1" x14ac:dyDescent="0.25">
      <c r="A40">
        <v>57</v>
      </c>
      <c r="B40" t="s">
        <v>14</v>
      </c>
      <c r="C40" t="s">
        <v>15</v>
      </c>
      <c r="D40" t="s">
        <v>8</v>
      </c>
      <c r="E40" s="1" t="s">
        <v>222</v>
      </c>
      <c r="F40">
        <f>VLOOKUP(Tabela14[[#This Row],[ID_COD]],Tabela2[],6,0)</f>
        <v>0</v>
      </c>
      <c r="G40" t="s">
        <v>272</v>
      </c>
      <c r="H40" s="2">
        <v>18.591428571428573</v>
      </c>
    </row>
    <row r="41" spans="1:8" hidden="1" x14ac:dyDescent="0.25">
      <c r="A41">
        <v>58</v>
      </c>
      <c r="B41" t="s">
        <v>14</v>
      </c>
      <c r="C41" t="s">
        <v>15</v>
      </c>
      <c r="D41" t="s">
        <v>8</v>
      </c>
      <c r="E41" s="1" t="s">
        <v>243</v>
      </c>
      <c r="F41">
        <f>VLOOKUP(Tabela14[[#This Row],[ID_COD]],Tabela2[],6,0)</f>
        <v>0</v>
      </c>
      <c r="G41" t="s">
        <v>273</v>
      </c>
      <c r="H41" s="2">
        <v>19.28</v>
      </c>
    </row>
    <row r="42" spans="1:8" hidden="1" x14ac:dyDescent="0.25">
      <c r="A42">
        <v>59</v>
      </c>
      <c r="B42" t="s">
        <v>14</v>
      </c>
      <c r="C42" t="s">
        <v>15</v>
      </c>
      <c r="D42" t="s">
        <v>8</v>
      </c>
      <c r="E42" s="1" t="s">
        <v>180</v>
      </c>
      <c r="F42">
        <f>VLOOKUP(Tabela14[[#This Row],[ID_COD]],Tabela2[],6,0)</f>
        <v>32</v>
      </c>
      <c r="G42" t="s">
        <v>274</v>
      </c>
      <c r="H42" s="2">
        <v>19.96857142857143</v>
      </c>
    </row>
    <row r="43" spans="1:8" hidden="1" x14ac:dyDescent="0.25">
      <c r="A43">
        <v>60</v>
      </c>
      <c r="B43" t="s">
        <v>14</v>
      </c>
      <c r="C43" t="s">
        <v>15</v>
      </c>
      <c r="D43" t="s">
        <v>8</v>
      </c>
      <c r="E43" s="1" t="s">
        <v>233</v>
      </c>
      <c r="F43">
        <f>VLOOKUP(Tabela14[[#This Row],[ID_COD]],Tabela2[],6,0)</f>
        <v>0</v>
      </c>
      <c r="G43" t="s">
        <v>275</v>
      </c>
      <c r="H43" s="2">
        <v>20.657142857142858</v>
      </c>
    </row>
    <row r="44" spans="1:8" hidden="1" x14ac:dyDescent="0.25">
      <c r="A44">
        <v>61</v>
      </c>
      <c r="B44" t="s">
        <v>14</v>
      </c>
      <c r="C44" t="s">
        <v>15</v>
      </c>
      <c r="D44" t="s">
        <v>8</v>
      </c>
      <c r="E44" s="1" t="s">
        <v>281</v>
      </c>
      <c r="F44">
        <f>VLOOKUP(Tabela14[[#This Row],[ID_COD]],Tabela2[],6,0)</f>
        <v>0</v>
      </c>
      <c r="G44" t="s">
        <v>276</v>
      </c>
      <c r="H44" s="2">
        <v>21.345714285714287</v>
      </c>
    </row>
    <row r="45" spans="1:8" hidden="1" x14ac:dyDescent="0.25">
      <c r="A45">
        <v>19</v>
      </c>
      <c r="B45" t="s">
        <v>14</v>
      </c>
      <c r="C45" t="s">
        <v>15</v>
      </c>
      <c r="D45" t="s">
        <v>8</v>
      </c>
      <c r="E45" s="1" t="s">
        <v>299</v>
      </c>
      <c r="F45">
        <f>VLOOKUP(Tabela14[[#This Row],[ID_COD]],Tabela2[],6,0)</f>
        <v>0</v>
      </c>
      <c r="G45" t="s">
        <v>277</v>
      </c>
      <c r="H45" s="2">
        <v>22.034285714285719</v>
      </c>
    </row>
    <row r="46" spans="1:8" hidden="1" x14ac:dyDescent="0.25">
      <c r="A46">
        <v>1754</v>
      </c>
      <c r="B46" t="s">
        <v>14</v>
      </c>
      <c r="C46" t="s">
        <v>15</v>
      </c>
      <c r="D46" t="s">
        <v>9</v>
      </c>
      <c r="E46" s="1" t="s">
        <v>326</v>
      </c>
      <c r="F46">
        <f>VLOOKUP(Tabela14[[#This Row],[ID_COD]],Tabela2[],6,0)</f>
        <v>40</v>
      </c>
      <c r="G46" t="s">
        <v>267</v>
      </c>
      <c r="H46" s="2">
        <v>27.880000000000003</v>
      </c>
    </row>
    <row r="47" spans="1:8" hidden="1" x14ac:dyDescent="0.25">
      <c r="A47">
        <v>1774</v>
      </c>
      <c r="B47" t="s">
        <v>14</v>
      </c>
      <c r="C47" t="s">
        <v>15</v>
      </c>
      <c r="D47" t="s">
        <v>9</v>
      </c>
      <c r="E47" s="1" t="s">
        <v>327</v>
      </c>
      <c r="F47">
        <f>VLOOKUP(Tabela14[[#This Row],[ID_COD]],Tabela2[],6,0)</f>
        <v>0</v>
      </c>
      <c r="G47" t="s">
        <v>267</v>
      </c>
      <c r="H47" s="2">
        <v>29.207619047619044</v>
      </c>
    </row>
    <row r="48" spans="1:8" hidden="1" x14ac:dyDescent="0.25">
      <c r="A48">
        <v>307</v>
      </c>
      <c r="B48" t="s">
        <v>16</v>
      </c>
      <c r="C48" t="s">
        <v>17</v>
      </c>
      <c r="D48" t="s">
        <v>4</v>
      </c>
      <c r="E48" s="1" t="s">
        <v>208</v>
      </c>
      <c r="F48">
        <f>VLOOKUP(Tabela14[[#This Row],[ID_COD]],Tabela2[],6,0)</f>
        <v>72</v>
      </c>
      <c r="G48" t="s">
        <v>280</v>
      </c>
      <c r="H48" s="2">
        <v>7.4923076923076923</v>
      </c>
    </row>
    <row r="49" spans="1:8" hidden="1" x14ac:dyDescent="0.25">
      <c r="A49">
        <v>308</v>
      </c>
      <c r="B49" t="s">
        <v>16</v>
      </c>
      <c r="C49" t="s">
        <v>17</v>
      </c>
      <c r="D49" t="s">
        <v>4</v>
      </c>
      <c r="E49" s="1" t="s">
        <v>224</v>
      </c>
      <c r="F49">
        <f>VLOOKUP(Tabela14[[#This Row],[ID_COD]],Tabela2[],6,0)</f>
        <v>0</v>
      </c>
      <c r="G49" t="s">
        <v>280</v>
      </c>
      <c r="H49" s="2">
        <v>8.2415384615384628</v>
      </c>
    </row>
    <row r="50" spans="1:8" hidden="1" x14ac:dyDescent="0.25">
      <c r="A50">
        <v>309</v>
      </c>
      <c r="B50" t="s">
        <v>16</v>
      </c>
      <c r="C50" t="s">
        <v>17</v>
      </c>
      <c r="D50" t="s">
        <v>4</v>
      </c>
      <c r="E50" s="1" t="s">
        <v>245</v>
      </c>
      <c r="F50">
        <f>VLOOKUP(Tabela14[[#This Row],[ID_COD]],Tabela2[],6,0)</f>
        <v>60</v>
      </c>
      <c r="G50" t="s">
        <v>280</v>
      </c>
      <c r="H50" s="2">
        <v>8.9907692307692297</v>
      </c>
    </row>
    <row r="51" spans="1:8" hidden="1" x14ac:dyDescent="0.25">
      <c r="A51">
        <v>310</v>
      </c>
      <c r="B51" t="s">
        <v>16</v>
      </c>
      <c r="C51" t="s">
        <v>17</v>
      </c>
      <c r="D51" t="s">
        <v>4</v>
      </c>
      <c r="E51" s="1" t="s">
        <v>190</v>
      </c>
      <c r="F51">
        <f>VLOOKUP(Tabela14[[#This Row],[ID_COD]],Tabela2[],6,0)</f>
        <v>60</v>
      </c>
      <c r="G51" t="s">
        <v>280</v>
      </c>
      <c r="H51" s="2">
        <v>9.74</v>
      </c>
    </row>
    <row r="52" spans="1:8" hidden="1" x14ac:dyDescent="0.25">
      <c r="A52">
        <v>311</v>
      </c>
      <c r="B52" t="s">
        <v>16</v>
      </c>
      <c r="C52" t="s">
        <v>17</v>
      </c>
      <c r="D52" t="s">
        <v>4</v>
      </c>
      <c r="E52" s="1" t="s">
        <v>214</v>
      </c>
      <c r="F52">
        <f>VLOOKUP(Tabela14[[#This Row],[ID_COD]],Tabela2[],6,0)</f>
        <v>0</v>
      </c>
      <c r="G52" t="s">
        <v>288</v>
      </c>
      <c r="H52" s="2">
        <v>10.489230769230771</v>
      </c>
    </row>
    <row r="53" spans="1:8" hidden="1" x14ac:dyDescent="0.25">
      <c r="A53">
        <v>312</v>
      </c>
      <c r="B53" t="s">
        <v>16</v>
      </c>
      <c r="C53" t="s">
        <v>17</v>
      </c>
      <c r="D53" t="s">
        <v>4</v>
      </c>
      <c r="E53" s="1" t="s">
        <v>240</v>
      </c>
      <c r="F53">
        <f>VLOOKUP(Tabela14[[#This Row],[ID_COD]],Tabela2[],6,0)</f>
        <v>0</v>
      </c>
      <c r="G53" t="s">
        <v>290</v>
      </c>
      <c r="H53" s="2">
        <v>11.238461538461538</v>
      </c>
    </row>
    <row r="54" spans="1:8" hidden="1" x14ac:dyDescent="0.25">
      <c r="A54">
        <v>313</v>
      </c>
      <c r="B54" t="s">
        <v>16</v>
      </c>
      <c r="C54" t="s">
        <v>17</v>
      </c>
      <c r="D54" t="s">
        <v>4</v>
      </c>
      <c r="E54" s="1" t="s">
        <v>138</v>
      </c>
      <c r="F54">
        <f>VLOOKUP(Tabela14[[#This Row],[ID_COD]],Tabela2[],6,0)</f>
        <v>50</v>
      </c>
      <c r="G54" t="s">
        <v>280</v>
      </c>
      <c r="H54" s="2">
        <v>11.98</v>
      </c>
    </row>
    <row r="55" spans="1:8" hidden="1" x14ac:dyDescent="0.25">
      <c r="A55">
        <v>314</v>
      </c>
      <c r="B55" t="s">
        <v>16</v>
      </c>
      <c r="C55" t="s">
        <v>17</v>
      </c>
      <c r="D55" t="s">
        <v>4</v>
      </c>
      <c r="E55" s="1" t="s">
        <v>166</v>
      </c>
      <c r="F55">
        <f>VLOOKUP(Tabela14[[#This Row],[ID_COD]],Tabela2[],6,0)</f>
        <v>50</v>
      </c>
      <c r="G55" t="s">
        <v>292</v>
      </c>
      <c r="H55" s="2">
        <v>12.736923076923077</v>
      </c>
    </row>
    <row r="56" spans="1:8" hidden="1" x14ac:dyDescent="0.25">
      <c r="A56">
        <v>315</v>
      </c>
      <c r="B56" t="s">
        <v>16</v>
      </c>
      <c r="C56" t="s">
        <v>17</v>
      </c>
      <c r="D56" t="s">
        <v>4</v>
      </c>
      <c r="E56" s="1" t="s">
        <v>323</v>
      </c>
      <c r="F56">
        <f>VLOOKUP(Tabela14[[#This Row],[ID_COD]],Tabela2[],6,0)</f>
        <v>0</v>
      </c>
      <c r="G56" t="s">
        <v>280</v>
      </c>
      <c r="H56" s="2">
        <v>13.486153846153847</v>
      </c>
    </row>
    <row r="57" spans="1:8" hidden="1" x14ac:dyDescent="0.25">
      <c r="A57">
        <v>316</v>
      </c>
      <c r="B57" t="s">
        <v>16</v>
      </c>
      <c r="C57" t="s">
        <v>17</v>
      </c>
      <c r="D57" t="s">
        <v>4</v>
      </c>
      <c r="E57" s="1" t="s">
        <v>324</v>
      </c>
      <c r="F57">
        <f>VLOOKUP(Tabela14[[#This Row],[ID_COD]],Tabela2[],6,0)</f>
        <v>0</v>
      </c>
      <c r="G57" t="s">
        <v>296</v>
      </c>
      <c r="H57" s="2">
        <v>14.235384615384616</v>
      </c>
    </row>
    <row r="58" spans="1:8" hidden="1" x14ac:dyDescent="0.25">
      <c r="A58">
        <v>317</v>
      </c>
      <c r="B58" t="s">
        <v>16</v>
      </c>
      <c r="C58" t="s">
        <v>17</v>
      </c>
      <c r="D58" t="s">
        <v>4</v>
      </c>
      <c r="E58" s="1" t="s">
        <v>325</v>
      </c>
      <c r="F58">
        <f>VLOOKUP(Tabela14[[#This Row],[ID_COD]],Tabela2[],6,0)</f>
        <v>0</v>
      </c>
      <c r="G58" t="s">
        <v>280</v>
      </c>
      <c r="H58" s="2">
        <v>14.984615384615385</v>
      </c>
    </row>
    <row r="59" spans="1:8" hidden="1" x14ac:dyDescent="0.25">
      <c r="A59">
        <v>318</v>
      </c>
      <c r="B59" t="s">
        <v>16</v>
      </c>
      <c r="C59" t="s">
        <v>17</v>
      </c>
      <c r="D59" t="s">
        <v>4</v>
      </c>
      <c r="E59" s="1" t="s">
        <v>326</v>
      </c>
      <c r="F59">
        <f>VLOOKUP(Tabela14[[#This Row],[ID_COD]],Tabela2[],6,0)</f>
        <v>0</v>
      </c>
      <c r="G59" t="s">
        <v>280</v>
      </c>
      <c r="H59" s="2">
        <v>15.733846153846155</v>
      </c>
    </row>
    <row r="60" spans="1:8" hidden="1" x14ac:dyDescent="0.25">
      <c r="A60">
        <v>319</v>
      </c>
      <c r="B60" t="s">
        <v>16</v>
      </c>
      <c r="C60" t="s">
        <v>17</v>
      </c>
      <c r="D60" t="s">
        <v>4</v>
      </c>
      <c r="E60" s="1" t="s">
        <v>327</v>
      </c>
      <c r="F60">
        <f>VLOOKUP(Tabela14[[#This Row],[ID_COD]],Tabela2[],6,0)</f>
        <v>40</v>
      </c>
      <c r="G60" t="s">
        <v>298</v>
      </c>
      <c r="H60" s="2">
        <v>16.483076923076926</v>
      </c>
    </row>
    <row r="61" spans="1:8" hidden="1" x14ac:dyDescent="0.25">
      <c r="A61">
        <v>320</v>
      </c>
      <c r="B61" t="s">
        <v>16</v>
      </c>
      <c r="C61" t="s">
        <v>17</v>
      </c>
      <c r="D61" t="s">
        <v>4</v>
      </c>
      <c r="E61" s="1" t="s">
        <v>328</v>
      </c>
      <c r="F61">
        <f>VLOOKUP(Tabela14[[#This Row],[ID_COD]],Tabela2[],6,0)</f>
        <v>32</v>
      </c>
      <c r="G61" t="s">
        <v>300</v>
      </c>
      <c r="H61" s="2">
        <v>17.232307692307696</v>
      </c>
    </row>
    <row r="62" spans="1:8" hidden="1" x14ac:dyDescent="0.25">
      <c r="A62">
        <v>1690</v>
      </c>
      <c r="B62" t="s">
        <v>16</v>
      </c>
      <c r="C62" t="s">
        <v>17</v>
      </c>
      <c r="D62" t="s">
        <v>4</v>
      </c>
      <c r="E62" s="1" t="s">
        <v>330</v>
      </c>
      <c r="F62">
        <f>VLOOKUP(Tabela14[[#This Row],[ID_COD]],Tabela2[],6,0)</f>
        <v>0</v>
      </c>
      <c r="G62" t="s">
        <v>108</v>
      </c>
      <c r="H62" s="2">
        <v>18.73076923076923</v>
      </c>
    </row>
    <row r="63" spans="1:8" hidden="1" x14ac:dyDescent="0.25">
      <c r="A63">
        <v>339</v>
      </c>
      <c r="B63" t="s">
        <v>16</v>
      </c>
      <c r="C63" t="s">
        <v>17</v>
      </c>
      <c r="D63" t="s">
        <v>8</v>
      </c>
      <c r="E63" s="1" t="s">
        <v>329</v>
      </c>
      <c r="F63">
        <f>VLOOKUP(Tabela14[[#This Row],[ID_COD]],Tabela2[],6,0)</f>
        <v>40</v>
      </c>
      <c r="G63" t="s">
        <v>284</v>
      </c>
      <c r="H63" s="2">
        <v>16.579999999999998</v>
      </c>
    </row>
    <row r="64" spans="1:8" hidden="1" x14ac:dyDescent="0.25">
      <c r="A64">
        <v>63</v>
      </c>
      <c r="B64" t="s">
        <v>16</v>
      </c>
      <c r="C64" t="s">
        <v>17</v>
      </c>
      <c r="D64" t="s">
        <v>8</v>
      </c>
      <c r="E64" s="1" t="s">
        <v>330</v>
      </c>
      <c r="F64">
        <f>VLOOKUP(Tabela14[[#This Row],[ID_COD]],Tabela2[],6,0)</f>
        <v>32</v>
      </c>
      <c r="G64" t="s">
        <v>283</v>
      </c>
      <c r="H64" s="2">
        <v>17.270833333333332</v>
      </c>
    </row>
    <row r="65" spans="1:8" hidden="1" x14ac:dyDescent="0.25">
      <c r="A65">
        <v>340</v>
      </c>
      <c r="B65" t="s">
        <v>16</v>
      </c>
      <c r="C65" t="s">
        <v>17</v>
      </c>
      <c r="D65" t="s">
        <v>8</v>
      </c>
      <c r="E65" s="1" t="s">
        <v>262</v>
      </c>
      <c r="F65">
        <f>VLOOKUP(Tabela14[[#This Row],[ID_COD]],Tabela2[],6,0)</f>
        <v>0</v>
      </c>
      <c r="G65" t="s">
        <v>286</v>
      </c>
      <c r="H65" s="2">
        <v>17.961666666666662</v>
      </c>
    </row>
    <row r="66" spans="1:8" hidden="1" x14ac:dyDescent="0.25">
      <c r="A66">
        <v>341</v>
      </c>
      <c r="B66" t="s">
        <v>16</v>
      </c>
      <c r="C66" t="s">
        <v>17</v>
      </c>
      <c r="D66" t="s">
        <v>8</v>
      </c>
      <c r="E66" s="1" t="s">
        <v>222</v>
      </c>
      <c r="F66">
        <f>VLOOKUP(Tabela14[[#This Row],[ID_COD]],Tabela2[],6,0)</f>
        <v>0</v>
      </c>
      <c r="G66" t="s">
        <v>287</v>
      </c>
      <c r="H66" s="2">
        <v>18.652499999999996</v>
      </c>
    </row>
    <row r="67" spans="1:8" hidden="1" x14ac:dyDescent="0.25">
      <c r="A67">
        <v>342</v>
      </c>
      <c r="B67" t="s">
        <v>16</v>
      </c>
      <c r="C67" t="s">
        <v>17</v>
      </c>
      <c r="D67" t="s">
        <v>8</v>
      </c>
      <c r="E67" s="1" t="s">
        <v>243</v>
      </c>
      <c r="F67">
        <f>VLOOKUP(Tabela14[[#This Row],[ID_COD]],Tabela2[],6,0)</f>
        <v>0</v>
      </c>
      <c r="G67" t="s">
        <v>289</v>
      </c>
      <c r="H67" s="2">
        <v>19.34333333333333</v>
      </c>
    </row>
    <row r="68" spans="1:8" hidden="1" x14ac:dyDescent="0.25">
      <c r="A68">
        <v>343</v>
      </c>
      <c r="B68" t="s">
        <v>16</v>
      </c>
      <c r="C68" t="s">
        <v>17</v>
      </c>
      <c r="D68" t="s">
        <v>8</v>
      </c>
      <c r="E68" s="1" t="s">
        <v>180</v>
      </c>
      <c r="F68">
        <f>VLOOKUP(Tabela14[[#This Row],[ID_COD]],Tabela2[],6,0)</f>
        <v>0</v>
      </c>
      <c r="G68" t="s">
        <v>280</v>
      </c>
      <c r="H68" s="2">
        <v>20.034166666666668</v>
      </c>
    </row>
    <row r="69" spans="1:8" hidden="1" x14ac:dyDescent="0.25">
      <c r="A69">
        <v>344</v>
      </c>
      <c r="B69" t="s">
        <v>16</v>
      </c>
      <c r="C69" t="s">
        <v>17</v>
      </c>
      <c r="D69" t="s">
        <v>8</v>
      </c>
      <c r="E69" s="1" t="s">
        <v>233</v>
      </c>
      <c r="F69">
        <f>VLOOKUP(Tabela14[[#This Row],[ID_COD]],Tabela2[],6,0)</f>
        <v>0</v>
      </c>
      <c r="G69" t="s">
        <v>291</v>
      </c>
      <c r="H69" s="2">
        <v>20.724999999999998</v>
      </c>
    </row>
    <row r="70" spans="1:8" hidden="1" x14ac:dyDescent="0.25">
      <c r="A70">
        <v>345</v>
      </c>
      <c r="B70" t="s">
        <v>16</v>
      </c>
      <c r="C70" t="s">
        <v>17</v>
      </c>
      <c r="D70" t="s">
        <v>8</v>
      </c>
      <c r="E70" s="1" t="s">
        <v>281</v>
      </c>
      <c r="F70">
        <f>VLOOKUP(Tabela14[[#This Row],[ID_COD]],Tabela2[],6,0)</f>
        <v>0</v>
      </c>
      <c r="G70" t="s">
        <v>293</v>
      </c>
      <c r="H70" s="2">
        <v>21.415833333333332</v>
      </c>
    </row>
    <row r="71" spans="1:8" hidden="1" x14ac:dyDescent="0.25">
      <c r="A71">
        <v>346</v>
      </c>
      <c r="B71" t="s">
        <v>16</v>
      </c>
      <c r="C71" t="s">
        <v>17</v>
      </c>
      <c r="D71" t="s">
        <v>8</v>
      </c>
      <c r="E71" s="1" t="s">
        <v>299</v>
      </c>
      <c r="F71">
        <f>VLOOKUP(Tabela14[[#This Row],[ID_COD]],Tabela2[],6,0)</f>
        <v>0</v>
      </c>
      <c r="G71" t="s">
        <v>295</v>
      </c>
      <c r="H71" s="2">
        <v>22.106666666666666</v>
      </c>
    </row>
    <row r="72" spans="1:8" hidden="1" x14ac:dyDescent="0.25">
      <c r="A72">
        <v>347</v>
      </c>
      <c r="B72" t="s">
        <v>16</v>
      </c>
      <c r="C72" t="s">
        <v>17</v>
      </c>
      <c r="D72" t="s">
        <v>8</v>
      </c>
      <c r="E72" s="1" t="s">
        <v>316</v>
      </c>
      <c r="F72">
        <f>VLOOKUP(Tabela14[[#This Row],[ID_COD]],Tabela2[],6,0)</f>
        <v>0</v>
      </c>
      <c r="G72" t="s">
        <v>296</v>
      </c>
      <c r="H72" s="2">
        <v>22.797499999999999</v>
      </c>
    </row>
    <row r="73" spans="1:8" hidden="1" x14ac:dyDescent="0.25">
      <c r="A73">
        <v>348</v>
      </c>
      <c r="B73" t="s">
        <v>16</v>
      </c>
      <c r="C73" t="s">
        <v>17</v>
      </c>
      <c r="D73" t="s">
        <v>8</v>
      </c>
      <c r="E73" s="1" t="s">
        <v>285</v>
      </c>
      <c r="F73">
        <f>VLOOKUP(Tabela14[[#This Row],[ID_COD]],Tabela2[],6,0)</f>
        <v>0</v>
      </c>
      <c r="G73" t="s">
        <v>297</v>
      </c>
      <c r="H73" s="2">
        <v>23.488333333333333</v>
      </c>
    </row>
    <row r="74" spans="1:8" hidden="1" x14ac:dyDescent="0.25">
      <c r="A74">
        <v>1700</v>
      </c>
      <c r="B74" t="s">
        <v>16</v>
      </c>
      <c r="C74" t="s">
        <v>18</v>
      </c>
      <c r="D74" t="s">
        <v>9</v>
      </c>
      <c r="E74" s="1" t="s">
        <v>329</v>
      </c>
      <c r="F74">
        <f>VLOOKUP(Tabela14[[#This Row],[ID_COD]],Tabela2[],6,0)</f>
        <v>0</v>
      </c>
      <c r="G74" t="s">
        <v>284</v>
      </c>
      <c r="H74" s="2">
        <v>28.77</v>
      </c>
    </row>
    <row r="75" spans="1:8" hidden="1" x14ac:dyDescent="0.25">
      <c r="A75">
        <v>1697</v>
      </c>
      <c r="B75" t="s">
        <v>16</v>
      </c>
      <c r="C75" t="s">
        <v>18</v>
      </c>
      <c r="D75" t="s">
        <v>9</v>
      </c>
      <c r="E75" s="1" t="s">
        <v>330</v>
      </c>
      <c r="F75">
        <f>VLOOKUP(Tabela14[[#This Row],[ID_COD]],Tabela2[],6,0)</f>
        <v>0</v>
      </c>
      <c r="G75" t="s">
        <v>280</v>
      </c>
      <c r="H75" s="2">
        <v>29.96875</v>
      </c>
    </row>
    <row r="76" spans="1:8" hidden="1" x14ac:dyDescent="0.25">
      <c r="A76">
        <v>321</v>
      </c>
      <c r="B76" t="s">
        <v>19</v>
      </c>
      <c r="C76" t="s">
        <v>20</v>
      </c>
      <c r="D76" t="s">
        <v>4</v>
      </c>
      <c r="E76" s="1" t="s">
        <v>208</v>
      </c>
      <c r="F76">
        <f>VLOOKUP(Tabela14[[#This Row],[ID_COD]],Tabela2[],6,0)</f>
        <v>72</v>
      </c>
      <c r="G76" t="s">
        <v>301</v>
      </c>
      <c r="H76" s="2">
        <v>7.9</v>
      </c>
    </row>
    <row r="77" spans="1:8" hidden="1" x14ac:dyDescent="0.25">
      <c r="A77">
        <v>322</v>
      </c>
      <c r="B77" t="s">
        <v>19</v>
      </c>
      <c r="C77" t="s">
        <v>20</v>
      </c>
      <c r="D77" t="s">
        <v>4</v>
      </c>
      <c r="E77" s="1" t="s">
        <v>224</v>
      </c>
      <c r="F77">
        <f>VLOOKUP(Tabela14[[#This Row],[ID_COD]],Tabela2[],6,0)</f>
        <v>72</v>
      </c>
      <c r="G77" t="s">
        <v>301</v>
      </c>
      <c r="H77" s="2">
        <v>8.69</v>
      </c>
    </row>
    <row r="78" spans="1:8" hidden="1" x14ac:dyDescent="0.25">
      <c r="A78">
        <v>323</v>
      </c>
      <c r="B78" t="s">
        <v>19</v>
      </c>
      <c r="C78" t="s">
        <v>20</v>
      </c>
      <c r="D78" t="s">
        <v>4</v>
      </c>
      <c r="E78" s="1" t="s">
        <v>245</v>
      </c>
      <c r="F78">
        <f>VLOOKUP(Tabela14[[#This Row],[ID_COD]],Tabela2[],6,0)</f>
        <v>60</v>
      </c>
      <c r="G78" t="s">
        <v>301</v>
      </c>
      <c r="H78" s="2">
        <v>9.48</v>
      </c>
    </row>
    <row r="79" spans="1:8" hidden="1" x14ac:dyDescent="0.25">
      <c r="A79">
        <v>324</v>
      </c>
      <c r="B79" t="s">
        <v>19</v>
      </c>
      <c r="C79" t="s">
        <v>20</v>
      </c>
      <c r="D79" t="s">
        <v>4</v>
      </c>
      <c r="E79" s="1" t="s">
        <v>190</v>
      </c>
      <c r="F79">
        <f>VLOOKUP(Tabela14[[#This Row],[ID_COD]],Tabela2[],6,0)</f>
        <v>60</v>
      </c>
      <c r="G79" t="s">
        <v>301</v>
      </c>
      <c r="H79" s="2">
        <v>10.27</v>
      </c>
    </row>
    <row r="80" spans="1:8" hidden="1" x14ac:dyDescent="0.25">
      <c r="A80">
        <v>325</v>
      </c>
      <c r="B80" t="s">
        <v>19</v>
      </c>
      <c r="C80" t="s">
        <v>20</v>
      </c>
      <c r="D80" t="s">
        <v>4</v>
      </c>
      <c r="E80" s="1" t="s">
        <v>214</v>
      </c>
      <c r="F80">
        <f>VLOOKUP(Tabela14[[#This Row],[ID_COD]],Tabela2[],6,0)</f>
        <v>50</v>
      </c>
      <c r="G80" t="s">
        <v>301</v>
      </c>
      <c r="H80" s="2">
        <v>11.06</v>
      </c>
    </row>
    <row r="81" spans="1:8" hidden="1" x14ac:dyDescent="0.25">
      <c r="A81">
        <v>326</v>
      </c>
      <c r="B81" t="s">
        <v>19</v>
      </c>
      <c r="C81" t="s">
        <v>20</v>
      </c>
      <c r="D81" t="s">
        <v>4</v>
      </c>
      <c r="E81" s="1" t="s">
        <v>240</v>
      </c>
      <c r="F81">
        <f>VLOOKUP(Tabela14[[#This Row],[ID_COD]],Tabela2[],6,0)</f>
        <v>50</v>
      </c>
      <c r="G81" t="s">
        <v>301</v>
      </c>
      <c r="H81" s="2">
        <v>11.85</v>
      </c>
    </row>
    <row r="82" spans="1:8" hidden="1" x14ac:dyDescent="0.25">
      <c r="A82">
        <v>327</v>
      </c>
      <c r="B82" t="s">
        <v>19</v>
      </c>
      <c r="C82" t="s">
        <v>20</v>
      </c>
      <c r="D82" t="s">
        <v>4</v>
      </c>
      <c r="E82" s="1" t="s">
        <v>138</v>
      </c>
      <c r="F82">
        <f>VLOOKUP(Tabela14[[#This Row],[ID_COD]],Tabela2[],6,0)</f>
        <v>50</v>
      </c>
      <c r="G82" t="s">
        <v>301</v>
      </c>
      <c r="H82" s="2">
        <v>12.64</v>
      </c>
    </row>
    <row r="83" spans="1:8" hidden="1" x14ac:dyDescent="0.25">
      <c r="A83">
        <v>328</v>
      </c>
      <c r="B83" t="s">
        <v>19</v>
      </c>
      <c r="C83" t="s">
        <v>20</v>
      </c>
      <c r="D83" t="s">
        <v>4</v>
      </c>
      <c r="E83" s="1" t="s">
        <v>166</v>
      </c>
      <c r="F83">
        <f>VLOOKUP(Tabela14[[#This Row],[ID_COD]],Tabela2[],6,0)</f>
        <v>50</v>
      </c>
      <c r="G83" t="s">
        <v>313</v>
      </c>
      <c r="H83" s="2">
        <v>13.43</v>
      </c>
    </row>
    <row r="84" spans="1:8" hidden="1" x14ac:dyDescent="0.25">
      <c r="A84">
        <v>329</v>
      </c>
      <c r="B84" t="s">
        <v>19</v>
      </c>
      <c r="C84" t="s">
        <v>20</v>
      </c>
      <c r="D84" t="s">
        <v>4</v>
      </c>
      <c r="E84" s="1" t="s">
        <v>323</v>
      </c>
      <c r="F84">
        <f>VLOOKUP(Tabela14[[#This Row],[ID_COD]],Tabela2[],6,0)</f>
        <v>50</v>
      </c>
      <c r="G84" t="s">
        <v>315</v>
      </c>
      <c r="H84" s="2">
        <v>14.22</v>
      </c>
    </row>
    <row r="85" spans="1:8" hidden="1" x14ac:dyDescent="0.25">
      <c r="A85">
        <v>330</v>
      </c>
      <c r="B85" t="s">
        <v>19</v>
      </c>
      <c r="C85" t="s">
        <v>20</v>
      </c>
      <c r="D85" t="s">
        <v>4</v>
      </c>
      <c r="E85" s="1" t="s">
        <v>324</v>
      </c>
      <c r="F85">
        <f>VLOOKUP(Tabela14[[#This Row],[ID_COD]],Tabela2[],6,0)</f>
        <v>90</v>
      </c>
      <c r="G85" t="s">
        <v>317</v>
      </c>
      <c r="H85" s="2">
        <v>15.01</v>
      </c>
    </row>
    <row r="86" spans="1:8" hidden="1" x14ac:dyDescent="0.25">
      <c r="A86">
        <v>331</v>
      </c>
      <c r="B86" t="s">
        <v>19</v>
      </c>
      <c r="C86" t="s">
        <v>20</v>
      </c>
      <c r="D86" t="s">
        <v>4</v>
      </c>
      <c r="E86" s="1" t="s">
        <v>325</v>
      </c>
      <c r="F86">
        <f>VLOOKUP(Tabela14[[#This Row],[ID_COD]],Tabela2[],6,0)</f>
        <v>0</v>
      </c>
      <c r="G86" t="s">
        <v>318</v>
      </c>
      <c r="H86" s="2">
        <v>15.8</v>
      </c>
    </row>
    <row r="87" spans="1:8" hidden="1" x14ac:dyDescent="0.25">
      <c r="A87">
        <v>332</v>
      </c>
      <c r="B87" t="s">
        <v>19</v>
      </c>
      <c r="C87" t="s">
        <v>20</v>
      </c>
      <c r="D87" t="s">
        <v>4</v>
      </c>
      <c r="E87" s="1" t="s">
        <v>326</v>
      </c>
      <c r="F87">
        <f>VLOOKUP(Tabela14[[#This Row],[ID_COD]],Tabela2[],6,0)</f>
        <v>0</v>
      </c>
      <c r="G87" t="s">
        <v>319</v>
      </c>
      <c r="H87" s="2">
        <v>16.59</v>
      </c>
    </row>
    <row r="88" spans="1:8" hidden="1" x14ac:dyDescent="0.25">
      <c r="A88">
        <v>333</v>
      </c>
      <c r="B88" t="s">
        <v>19</v>
      </c>
      <c r="C88" t="s">
        <v>20</v>
      </c>
      <c r="D88" t="s">
        <v>4</v>
      </c>
      <c r="E88" s="1" t="s">
        <v>327</v>
      </c>
      <c r="F88">
        <f>VLOOKUP(Tabela14[[#This Row],[ID_COD]],Tabela2[],6,0)</f>
        <v>50</v>
      </c>
      <c r="G88" t="s">
        <v>320</v>
      </c>
      <c r="H88" s="2">
        <v>17.38</v>
      </c>
    </row>
    <row r="89" spans="1:8" hidden="1" x14ac:dyDescent="0.25">
      <c r="A89">
        <v>334</v>
      </c>
      <c r="B89" t="s">
        <v>19</v>
      </c>
      <c r="C89" t="s">
        <v>20</v>
      </c>
      <c r="D89" t="s">
        <v>4</v>
      </c>
      <c r="E89" s="1" t="s">
        <v>328</v>
      </c>
      <c r="F89">
        <f>VLOOKUP(Tabela14[[#This Row],[ID_COD]],Tabela2[],6,0)</f>
        <v>0</v>
      </c>
      <c r="G89" t="s">
        <v>301</v>
      </c>
      <c r="H89" s="2">
        <v>18.170000000000002</v>
      </c>
    </row>
    <row r="90" spans="1:8" hidden="1" x14ac:dyDescent="0.25">
      <c r="A90">
        <v>335</v>
      </c>
      <c r="B90" t="s">
        <v>19</v>
      </c>
      <c r="C90" t="s">
        <v>20</v>
      </c>
      <c r="D90" t="s">
        <v>4</v>
      </c>
      <c r="E90" s="1" t="s">
        <v>329</v>
      </c>
      <c r="F90">
        <f>VLOOKUP(Tabela14[[#This Row],[ID_COD]],Tabela2[],6,0)</f>
        <v>40</v>
      </c>
      <c r="G90" t="s">
        <v>321</v>
      </c>
      <c r="H90" s="2">
        <v>18.96</v>
      </c>
    </row>
    <row r="91" spans="1:8" hidden="1" x14ac:dyDescent="0.25">
      <c r="A91">
        <v>336</v>
      </c>
      <c r="B91" t="s">
        <v>19</v>
      </c>
      <c r="C91" t="s">
        <v>20</v>
      </c>
      <c r="D91" t="s">
        <v>4</v>
      </c>
      <c r="E91" s="1" t="s">
        <v>330</v>
      </c>
      <c r="F91">
        <f>VLOOKUP(Tabela14[[#This Row],[ID_COD]],Tabela2[],6,0)</f>
        <v>40</v>
      </c>
      <c r="G91" t="s">
        <v>301</v>
      </c>
      <c r="H91" s="2">
        <v>19.75</v>
      </c>
    </row>
    <row r="92" spans="1:8" hidden="1" x14ac:dyDescent="0.25">
      <c r="A92">
        <v>337</v>
      </c>
      <c r="B92" t="s">
        <v>19</v>
      </c>
      <c r="C92" t="s">
        <v>20</v>
      </c>
      <c r="D92" t="s">
        <v>4</v>
      </c>
      <c r="E92" s="1" t="s">
        <v>262</v>
      </c>
      <c r="F92">
        <f>VLOOKUP(Tabela14[[#This Row],[ID_COD]],Tabela2[],6,0)</f>
        <v>32</v>
      </c>
      <c r="G92" t="s">
        <v>301</v>
      </c>
      <c r="H92" s="2">
        <v>20.54</v>
      </c>
    </row>
    <row r="93" spans="1:8" hidden="1" x14ac:dyDescent="0.25">
      <c r="A93">
        <v>1699</v>
      </c>
      <c r="B93" t="s">
        <v>19</v>
      </c>
      <c r="C93" t="s">
        <v>20</v>
      </c>
      <c r="D93" t="s">
        <v>8</v>
      </c>
      <c r="E93" s="1" t="s">
        <v>324</v>
      </c>
      <c r="F93">
        <f>VLOOKUP(Tabela14[[#This Row],[ID_COD]],Tabela2[],6,0)</f>
        <v>0</v>
      </c>
      <c r="G93" t="s">
        <v>301</v>
      </c>
      <c r="H93" s="2">
        <v>13.525185185185185</v>
      </c>
    </row>
    <row r="94" spans="1:8" hidden="1" x14ac:dyDescent="0.25">
      <c r="A94">
        <v>1773</v>
      </c>
      <c r="B94" t="s">
        <v>19</v>
      </c>
      <c r="C94" t="s">
        <v>20</v>
      </c>
      <c r="D94" t="s">
        <v>8</v>
      </c>
      <c r="E94" s="1" t="s">
        <v>326</v>
      </c>
      <c r="F94">
        <f>VLOOKUP(Tabela14[[#This Row],[ID_COD]],Tabela2[],6,0)</f>
        <v>40</v>
      </c>
      <c r="G94" t="s">
        <v>109</v>
      </c>
      <c r="H94" s="2">
        <v>14.948888888888888</v>
      </c>
    </row>
    <row r="95" spans="1:8" hidden="1" x14ac:dyDescent="0.25">
      <c r="A95">
        <v>349</v>
      </c>
      <c r="B95" t="s">
        <v>19</v>
      </c>
      <c r="C95" t="s">
        <v>20</v>
      </c>
      <c r="D95" t="s">
        <v>8</v>
      </c>
      <c r="E95" s="1" t="s">
        <v>222</v>
      </c>
      <c r="F95">
        <f>VLOOKUP(Tabela14[[#This Row],[ID_COD]],Tabela2[],6,0)</f>
        <v>32</v>
      </c>
      <c r="G95" t="s">
        <v>303</v>
      </c>
      <c r="H95" s="2">
        <v>19.22</v>
      </c>
    </row>
    <row r="96" spans="1:8" hidden="1" x14ac:dyDescent="0.25">
      <c r="A96">
        <v>350</v>
      </c>
      <c r="B96" t="s">
        <v>19</v>
      </c>
      <c r="C96" t="s">
        <v>20</v>
      </c>
      <c r="D96" t="s">
        <v>8</v>
      </c>
      <c r="E96" s="1" t="s">
        <v>243</v>
      </c>
      <c r="F96">
        <f>VLOOKUP(Tabela14[[#This Row],[ID_COD]],Tabela2[],6,0)</f>
        <v>0</v>
      </c>
      <c r="G96" t="s">
        <v>301</v>
      </c>
      <c r="H96" s="2">
        <v>19.931851851851849</v>
      </c>
    </row>
    <row r="97" spans="1:8" hidden="1" x14ac:dyDescent="0.25">
      <c r="A97">
        <v>351</v>
      </c>
      <c r="B97" t="s">
        <v>19</v>
      </c>
      <c r="C97" t="s">
        <v>20</v>
      </c>
      <c r="D97" t="s">
        <v>8</v>
      </c>
      <c r="E97" s="1" t="s">
        <v>180</v>
      </c>
      <c r="F97">
        <f>VLOOKUP(Tabela14[[#This Row],[ID_COD]],Tabela2[],6,0)</f>
        <v>0</v>
      </c>
      <c r="G97" t="s">
        <v>306</v>
      </c>
      <c r="H97" s="2">
        <v>20.6437037037037</v>
      </c>
    </row>
    <row r="98" spans="1:8" hidden="1" x14ac:dyDescent="0.25">
      <c r="A98">
        <v>352</v>
      </c>
      <c r="B98" t="s">
        <v>19</v>
      </c>
      <c r="C98" t="s">
        <v>20</v>
      </c>
      <c r="D98" t="s">
        <v>8</v>
      </c>
      <c r="E98" s="1" t="s">
        <v>233</v>
      </c>
      <c r="F98">
        <f>VLOOKUP(Tabela14[[#This Row],[ID_COD]],Tabela2[],6,0)</f>
        <v>0</v>
      </c>
      <c r="G98" t="s">
        <v>308</v>
      </c>
      <c r="H98" s="2">
        <v>21.355555555555554</v>
      </c>
    </row>
    <row r="99" spans="1:8" hidden="1" x14ac:dyDescent="0.25">
      <c r="A99">
        <v>353</v>
      </c>
      <c r="B99" t="s">
        <v>19</v>
      </c>
      <c r="C99" t="s">
        <v>20</v>
      </c>
      <c r="D99" t="s">
        <v>8</v>
      </c>
      <c r="E99" s="1" t="s">
        <v>281</v>
      </c>
      <c r="F99">
        <f>VLOOKUP(Tabela14[[#This Row],[ID_COD]],Tabela2[],6,0)</f>
        <v>0</v>
      </c>
      <c r="G99" t="s">
        <v>309</v>
      </c>
      <c r="H99" s="2">
        <v>22.067407407407408</v>
      </c>
    </row>
    <row r="100" spans="1:8" hidden="1" x14ac:dyDescent="0.25">
      <c r="A100">
        <v>354</v>
      </c>
      <c r="B100" t="s">
        <v>19</v>
      </c>
      <c r="C100" t="s">
        <v>20</v>
      </c>
      <c r="D100" t="s">
        <v>8</v>
      </c>
      <c r="E100" s="1" t="s">
        <v>299</v>
      </c>
      <c r="F100">
        <f>VLOOKUP(Tabela14[[#This Row],[ID_COD]],Tabela2[],6,0)</f>
        <v>0</v>
      </c>
      <c r="G100" t="s">
        <v>310</v>
      </c>
      <c r="H100" s="2">
        <v>22.779259259259259</v>
      </c>
    </row>
    <row r="101" spans="1:8" hidden="1" x14ac:dyDescent="0.25">
      <c r="A101">
        <v>355</v>
      </c>
      <c r="B101" t="s">
        <v>19</v>
      </c>
      <c r="C101" t="s">
        <v>20</v>
      </c>
      <c r="D101" t="s">
        <v>8</v>
      </c>
      <c r="E101" s="1" t="s">
        <v>316</v>
      </c>
      <c r="F101">
        <f>VLOOKUP(Tabela14[[#This Row],[ID_COD]],Tabela2[],6,0)</f>
        <v>0</v>
      </c>
      <c r="G101" t="s">
        <v>312</v>
      </c>
      <c r="H101" s="2">
        <v>23.49111111111111</v>
      </c>
    </row>
    <row r="102" spans="1:8" hidden="1" x14ac:dyDescent="0.25">
      <c r="A102">
        <v>356</v>
      </c>
      <c r="B102" t="s">
        <v>19</v>
      </c>
      <c r="C102" t="s">
        <v>20</v>
      </c>
      <c r="D102" t="s">
        <v>8</v>
      </c>
      <c r="E102" s="1" t="s">
        <v>285</v>
      </c>
      <c r="F102">
        <f>VLOOKUP(Tabela14[[#This Row],[ID_COD]],Tabela2[],6,0)</f>
        <v>0</v>
      </c>
      <c r="G102" t="s">
        <v>313</v>
      </c>
      <c r="H102" s="2">
        <v>24.20296296296296</v>
      </c>
    </row>
    <row r="103" spans="1:8" hidden="1" x14ac:dyDescent="0.25">
      <c r="A103">
        <v>73</v>
      </c>
      <c r="B103" t="s">
        <v>19</v>
      </c>
      <c r="C103" t="s">
        <v>20</v>
      </c>
      <c r="D103" t="s">
        <v>9</v>
      </c>
      <c r="E103" s="1" t="s">
        <v>222</v>
      </c>
      <c r="F103">
        <f>VLOOKUP(Tabela14[[#This Row],[ID_COD]],Tabela2[],6,0)</f>
        <v>32</v>
      </c>
      <c r="G103" t="s">
        <v>304</v>
      </c>
      <c r="H103" s="2">
        <v>30.77</v>
      </c>
    </row>
    <row r="104" spans="1:8" hidden="1" x14ac:dyDescent="0.25">
      <c r="A104">
        <v>74</v>
      </c>
      <c r="B104" t="s">
        <v>19</v>
      </c>
      <c r="C104" t="s">
        <v>20</v>
      </c>
      <c r="D104" t="s">
        <v>9</v>
      </c>
      <c r="E104" s="1" t="s">
        <v>243</v>
      </c>
      <c r="F104">
        <f>VLOOKUP(Tabela14[[#This Row],[ID_COD]],Tabela2[],6,0)</f>
        <v>0</v>
      </c>
      <c r="G104" t="s">
        <v>305</v>
      </c>
      <c r="H104" s="2">
        <v>31.909629629629631</v>
      </c>
    </row>
    <row r="105" spans="1:8" hidden="1" x14ac:dyDescent="0.25">
      <c r="A105">
        <v>75</v>
      </c>
      <c r="B105" t="s">
        <v>19</v>
      </c>
      <c r="C105" t="s">
        <v>20</v>
      </c>
      <c r="D105" t="s">
        <v>9</v>
      </c>
      <c r="E105" s="1" t="s">
        <v>180</v>
      </c>
      <c r="F105">
        <f>VLOOKUP(Tabela14[[#This Row],[ID_COD]],Tabela2[],6,0)</f>
        <v>32</v>
      </c>
      <c r="G105" t="s">
        <v>306</v>
      </c>
      <c r="H105" s="2">
        <v>33.049259259259259</v>
      </c>
    </row>
    <row r="106" spans="1:8" hidden="1" x14ac:dyDescent="0.25">
      <c r="A106">
        <v>76</v>
      </c>
      <c r="B106" t="s">
        <v>19</v>
      </c>
      <c r="C106" t="s">
        <v>20</v>
      </c>
      <c r="D106" t="s">
        <v>9</v>
      </c>
      <c r="E106" s="1" t="s">
        <v>233</v>
      </c>
      <c r="F106">
        <f>VLOOKUP(Tabela14[[#This Row],[ID_COD]],Tabela2[],6,0)</f>
        <v>0</v>
      </c>
      <c r="G106" t="s">
        <v>307</v>
      </c>
      <c r="H106" s="2">
        <v>34.18888888888889</v>
      </c>
    </row>
    <row r="107" spans="1:8" hidden="1" x14ac:dyDescent="0.25">
      <c r="A107">
        <v>77</v>
      </c>
      <c r="B107" t="s">
        <v>19</v>
      </c>
      <c r="C107" t="s">
        <v>20</v>
      </c>
      <c r="D107" t="s">
        <v>9</v>
      </c>
      <c r="E107" s="1" t="s">
        <v>281</v>
      </c>
      <c r="F107">
        <f>VLOOKUP(Tabela14[[#This Row],[ID_COD]],Tabela2[],6,0)</f>
        <v>0</v>
      </c>
      <c r="G107" t="s">
        <v>309</v>
      </c>
      <c r="H107" s="2">
        <v>35.328518518518521</v>
      </c>
    </row>
    <row r="108" spans="1:8" hidden="1" x14ac:dyDescent="0.25">
      <c r="A108">
        <v>78</v>
      </c>
      <c r="B108" t="s">
        <v>19</v>
      </c>
      <c r="C108" t="s">
        <v>20</v>
      </c>
      <c r="D108" t="s">
        <v>9</v>
      </c>
      <c r="E108" s="1" t="s">
        <v>299</v>
      </c>
      <c r="F108">
        <f>VLOOKUP(Tabela14[[#This Row],[ID_COD]],Tabela2[],6,0)</f>
        <v>0</v>
      </c>
      <c r="G108" t="s">
        <v>311</v>
      </c>
      <c r="H108" s="2">
        <v>36.468148148148146</v>
      </c>
    </row>
    <row r="109" spans="1:8" hidden="1" x14ac:dyDescent="0.25">
      <c r="A109">
        <v>79</v>
      </c>
      <c r="B109" t="s">
        <v>19</v>
      </c>
      <c r="C109" t="s">
        <v>20</v>
      </c>
      <c r="D109" t="s">
        <v>9</v>
      </c>
      <c r="E109" s="1" t="s">
        <v>316</v>
      </c>
      <c r="F109">
        <f>VLOOKUP(Tabela14[[#This Row],[ID_COD]],Tabela2[],6,0)</f>
        <v>0</v>
      </c>
      <c r="G109" t="s">
        <v>312</v>
      </c>
      <c r="H109" s="2">
        <v>37.607777777777777</v>
      </c>
    </row>
    <row r="110" spans="1:8" hidden="1" x14ac:dyDescent="0.25">
      <c r="A110">
        <v>80</v>
      </c>
      <c r="B110" t="s">
        <v>19</v>
      </c>
      <c r="C110" t="s">
        <v>20</v>
      </c>
      <c r="D110" t="s">
        <v>9</v>
      </c>
      <c r="E110" s="1" t="s">
        <v>285</v>
      </c>
      <c r="F110">
        <f>VLOOKUP(Tabela14[[#This Row],[ID_COD]],Tabela2[],6,0)</f>
        <v>0</v>
      </c>
      <c r="G110" t="s">
        <v>313</v>
      </c>
      <c r="H110" s="2">
        <v>38.747407407407408</v>
      </c>
    </row>
    <row r="111" spans="1:8" hidden="1" x14ac:dyDescent="0.25">
      <c r="A111">
        <v>81</v>
      </c>
      <c r="B111" t="s">
        <v>21</v>
      </c>
      <c r="C111" t="s">
        <v>22</v>
      </c>
      <c r="D111" t="s">
        <v>4</v>
      </c>
      <c r="E111" s="1" t="s">
        <v>166</v>
      </c>
      <c r="F111">
        <f>VLOOKUP(Tabela14[[#This Row],[ID_COD]],Tabela2[],6,0)</f>
        <v>0</v>
      </c>
      <c r="G111" t="s">
        <v>187</v>
      </c>
      <c r="H111" s="2">
        <v>12.499047619047618</v>
      </c>
    </row>
    <row r="112" spans="1:8" hidden="1" x14ac:dyDescent="0.25">
      <c r="A112">
        <v>82</v>
      </c>
      <c r="B112" t="s">
        <v>21</v>
      </c>
      <c r="C112" t="s">
        <v>22</v>
      </c>
      <c r="D112" t="s">
        <v>4</v>
      </c>
      <c r="E112" s="1" t="s">
        <v>323</v>
      </c>
      <c r="F112">
        <f>VLOOKUP(Tabela14[[#This Row],[ID_COD]],Tabela2[],6,0)</f>
        <v>33</v>
      </c>
      <c r="G112" t="s">
        <v>187</v>
      </c>
      <c r="H112" s="2">
        <v>13.234285714285713</v>
      </c>
    </row>
    <row r="113" spans="1:8" hidden="1" x14ac:dyDescent="0.25">
      <c r="A113">
        <v>83</v>
      </c>
      <c r="B113" t="s">
        <v>21</v>
      </c>
      <c r="C113" t="s">
        <v>22</v>
      </c>
      <c r="D113" t="s">
        <v>4</v>
      </c>
      <c r="E113" s="1" t="s">
        <v>324</v>
      </c>
      <c r="F113">
        <f>VLOOKUP(Tabela14[[#This Row],[ID_COD]],Tabela2[],6,0)</f>
        <v>0</v>
      </c>
      <c r="G113" t="s">
        <v>187</v>
      </c>
      <c r="H113" s="2">
        <v>13.969523809523809</v>
      </c>
    </row>
    <row r="114" spans="1:8" hidden="1" x14ac:dyDescent="0.25">
      <c r="A114">
        <v>84</v>
      </c>
      <c r="B114" t="s">
        <v>21</v>
      </c>
      <c r="C114" t="s">
        <v>22</v>
      </c>
      <c r="D114" t="s">
        <v>4</v>
      </c>
      <c r="E114" s="1" t="s">
        <v>325</v>
      </c>
      <c r="F114">
        <f>VLOOKUP(Tabela14[[#This Row],[ID_COD]],Tabela2[],6,0)</f>
        <v>36</v>
      </c>
      <c r="G114" t="s">
        <v>183</v>
      </c>
      <c r="H114" s="2">
        <v>14.704761904761904</v>
      </c>
    </row>
    <row r="115" spans="1:8" hidden="1" x14ac:dyDescent="0.25">
      <c r="A115">
        <v>85</v>
      </c>
      <c r="B115" t="s">
        <v>21</v>
      </c>
      <c r="C115" t="s">
        <v>22</v>
      </c>
      <c r="D115" t="s">
        <v>4</v>
      </c>
      <c r="E115" s="1" t="s">
        <v>326</v>
      </c>
      <c r="F115">
        <f>VLOOKUP(Tabela14[[#This Row],[ID_COD]],Tabela2[],6,0)</f>
        <v>36</v>
      </c>
      <c r="G115" t="s">
        <v>187</v>
      </c>
      <c r="H115" s="2">
        <v>15.440000000000001</v>
      </c>
    </row>
    <row r="116" spans="1:8" hidden="1" x14ac:dyDescent="0.25">
      <c r="A116">
        <v>86</v>
      </c>
      <c r="B116" t="s">
        <v>21</v>
      </c>
      <c r="C116" t="s">
        <v>22</v>
      </c>
      <c r="D116" t="s">
        <v>4</v>
      </c>
      <c r="E116" s="1" t="s">
        <v>327</v>
      </c>
      <c r="F116">
        <f>VLOOKUP(Tabela14[[#This Row],[ID_COD]],Tabela2[],6,0)</f>
        <v>30</v>
      </c>
      <c r="G116" t="s">
        <v>194</v>
      </c>
      <c r="H116" s="2">
        <v>16.175238095238093</v>
      </c>
    </row>
    <row r="117" spans="1:8" hidden="1" x14ac:dyDescent="0.25">
      <c r="A117">
        <v>87</v>
      </c>
      <c r="B117" t="s">
        <v>21</v>
      </c>
      <c r="C117" t="s">
        <v>22</v>
      </c>
      <c r="D117" t="s">
        <v>4</v>
      </c>
      <c r="E117" s="1" t="s">
        <v>328</v>
      </c>
      <c r="F117">
        <f>VLOOKUP(Tabela14[[#This Row],[ID_COD]],Tabela2[],6,0)</f>
        <v>0</v>
      </c>
      <c r="G117" t="s">
        <v>195</v>
      </c>
      <c r="H117" s="2">
        <v>16.910476190476189</v>
      </c>
    </row>
    <row r="118" spans="1:8" hidden="1" x14ac:dyDescent="0.25">
      <c r="A118">
        <v>88</v>
      </c>
      <c r="B118" t="s">
        <v>21</v>
      </c>
      <c r="C118" t="s">
        <v>22</v>
      </c>
      <c r="D118" t="s">
        <v>4</v>
      </c>
      <c r="E118" s="1" t="s">
        <v>329</v>
      </c>
      <c r="F118">
        <f>VLOOKUP(Tabela14[[#This Row],[ID_COD]],Tabela2[],6,0)</f>
        <v>30</v>
      </c>
      <c r="G118" t="s">
        <v>196</v>
      </c>
      <c r="H118" s="2">
        <v>17.645714285714284</v>
      </c>
    </row>
    <row r="119" spans="1:8" hidden="1" x14ac:dyDescent="0.25">
      <c r="A119">
        <v>89</v>
      </c>
      <c r="B119" t="s">
        <v>21</v>
      </c>
      <c r="C119" t="s">
        <v>22</v>
      </c>
      <c r="D119" t="s">
        <v>4</v>
      </c>
      <c r="E119" s="1" t="s">
        <v>330</v>
      </c>
      <c r="F119">
        <f>VLOOKUP(Tabela14[[#This Row],[ID_COD]],Tabela2[],6,0)</f>
        <v>30</v>
      </c>
      <c r="G119" t="s">
        <v>197</v>
      </c>
      <c r="H119" s="2">
        <v>18.38095238095238</v>
      </c>
    </row>
    <row r="120" spans="1:8" hidden="1" x14ac:dyDescent="0.25">
      <c r="A120">
        <v>90</v>
      </c>
      <c r="B120" t="s">
        <v>21</v>
      </c>
      <c r="C120" t="s">
        <v>22</v>
      </c>
      <c r="D120" t="s">
        <v>4</v>
      </c>
      <c r="E120" s="1" t="s">
        <v>262</v>
      </c>
      <c r="F120">
        <f>VLOOKUP(Tabela14[[#This Row],[ID_COD]],Tabela2[],6,0)</f>
        <v>0</v>
      </c>
      <c r="G120" t="s">
        <v>199</v>
      </c>
      <c r="H120" s="2">
        <v>19.116190476190475</v>
      </c>
    </row>
    <row r="121" spans="1:8" hidden="1" x14ac:dyDescent="0.25">
      <c r="A121">
        <v>91</v>
      </c>
      <c r="B121" t="s">
        <v>21</v>
      </c>
      <c r="C121" t="s">
        <v>22</v>
      </c>
      <c r="D121" t="s">
        <v>4</v>
      </c>
      <c r="E121" s="1" t="s">
        <v>222</v>
      </c>
      <c r="F121">
        <f>VLOOKUP(Tabela14[[#This Row],[ID_COD]],Tabela2[],6,0)</f>
        <v>0</v>
      </c>
      <c r="G121" t="s">
        <v>200</v>
      </c>
      <c r="H121" s="2">
        <v>19.851428571428571</v>
      </c>
    </row>
    <row r="122" spans="1:8" hidden="1" x14ac:dyDescent="0.25">
      <c r="A122">
        <v>92</v>
      </c>
      <c r="B122" t="s">
        <v>21</v>
      </c>
      <c r="C122" t="s">
        <v>22</v>
      </c>
      <c r="D122" t="s">
        <v>4</v>
      </c>
      <c r="E122" s="1" t="s">
        <v>243</v>
      </c>
      <c r="F122">
        <f>VLOOKUP(Tabela14[[#This Row],[ID_COD]],Tabela2[],6,0)</f>
        <v>0</v>
      </c>
      <c r="G122" t="s">
        <v>201</v>
      </c>
      <c r="H122" s="2">
        <v>20.586666666666666</v>
      </c>
    </row>
    <row r="123" spans="1:8" hidden="1" x14ac:dyDescent="0.25">
      <c r="A123">
        <v>93</v>
      </c>
      <c r="B123" t="s">
        <v>21</v>
      </c>
      <c r="C123" t="s">
        <v>22</v>
      </c>
      <c r="D123" t="s">
        <v>4</v>
      </c>
      <c r="E123" s="1" t="s">
        <v>180</v>
      </c>
      <c r="F123">
        <f>VLOOKUP(Tabela14[[#This Row],[ID_COD]],Tabela2[],6,0)</f>
        <v>0</v>
      </c>
      <c r="G123" t="s">
        <v>202</v>
      </c>
      <c r="H123" s="2">
        <v>21.321904761904758</v>
      </c>
    </row>
    <row r="124" spans="1:8" hidden="1" x14ac:dyDescent="0.25">
      <c r="A124">
        <v>94</v>
      </c>
      <c r="B124" t="s">
        <v>21</v>
      </c>
      <c r="C124" t="s">
        <v>22</v>
      </c>
      <c r="D124" t="s">
        <v>4</v>
      </c>
      <c r="E124" s="1" t="s">
        <v>233</v>
      </c>
      <c r="F124">
        <f>VLOOKUP(Tabela14[[#This Row],[ID_COD]],Tabela2[],6,0)</f>
        <v>25</v>
      </c>
      <c r="G124" t="s">
        <v>203</v>
      </c>
      <c r="H124" s="2">
        <v>22.057142857142857</v>
      </c>
    </row>
    <row r="125" spans="1:8" hidden="1" x14ac:dyDescent="0.25">
      <c r="A125">
        <v>95</v>
      </c>
      <c r="B125" t="s">
        <v>21</v>
      </c>
      <c r="C125" t="s">
        <v>22</v>
      </c>
      <c r="D125" t="s">
        <v>4</v>
      </c>
      <c r="E125" s="1" t="s">
        <v>281</v>
      </c>
      <c r="F125">
        <f>VLOOKUP(Tabela14[[#This Row],[ID_COD]],Tabela2[],6,0)</f>
        <v>0</v>
      </c>
      <c r="G125" t="s">
        <v>204</v>
      </c>
      <c r="H125" s="2">
        <v>22.792380952380952</v>
      </c>
    </row>
    <row r="126" spans="1:8" hidden="1" x14ac:dyDescent="0.25">
      <c r="A126">
        <v>96</v>
      </c>
      <c r="B126" t="s">
        <v>21</v>
      </c>
      <c r="C126" t="s">
        <v>22</v>
      </c>
      <c r="D126" t="s">
        <v>4</v>
      </c>
      <c r="E126" s="1" t="s">
        <v>299</v>
      </c>
      <c r="F126">
        <f>VLOOKUP(Tabela14[[#This Row],[ID_COD]],Tabela2[],6,0)</f>
        <v>20</v>
      </c>
      <c r="G126" t="s">
        <v>205</v>
      </c>
      <c r="H126" s="2">
        <v>23.527619047619048</v>
      </c>
    </row>
    <row r="127" spans="1:8" hidden="1" x14ac:dyDescent="0.25">
      <c r="A127">
        <v>97</v>
      </c>
      <c r="B127" t="s">
        <v>21</v>
      </c>
      <c r="C127" t="s">
        <v>22</v>
      </c>
      <c r="D127" t="s">
        <v>4</v>
      </c>
      <c r="E127" s="1" t="s">
        <v>316</v>
      </c>
      <c r="F127">
        <f>VLOOKUP(Tabela14[[#This Row],[ID_COD]],Tabela2[],6,0)</f>
        <v>0</v>
      </c>
      <c r="G127" t="s">
        <v>206</v>
      </c>
      <c r="H127" s="2">
        <v>24.262857142857143</v>
      </c>
    </row>
    <row r="128" spans="1:8" hidden="1" x14ac:dyDescent="0.25">
      <c r="A128">
        <v>129</v>
      </c>
      <c r="B128" t="s">
        <v>21</v>
      </c>
      <c r="C128" t="s">
        <v>22</v>
      </c>
      <c r="D128" t="s">
        <v>8</v>
      </c>
      <c r="E128" s="1" t="s">
        <v>285</v>
      </c>
      <c r="F128">
        <f>VLOOKUP(Tabela14[[#This Row],[ID_COD]],Tabela2[],6,0)</f>
        <v>20</v>
      </c>
      <c r="G128" t="s">
        <v>189</v>
      </c>
      <c r="H128" s="2">
        <v>27.264324324324328</v>
      </c>
    </row>
    <row r="129" spans="1:8" hidden="1" x14ac:dyDescent="0.25">
      <c r="A129">
        <v>130</v>
      </c>
      <c r="B129" t="s">
        <v>21</v>
      </c>
      <c r="C129" t="s">
        <v>22</v>
      </c>
      <c r="D129" t="s">
        <v>8</v>
      </c>
      <c r="E129" s="1" t="s">
        <v>302</v>
      </c>
      <c r="F129">
        <f>VLOOKUP(Tabela14[[#This Row],[ID_COD]],Tabela2[],6,0)</f>
        <v>0</v>
      </c>
      <c r="G129" t="s">
        <v>191</v>
      </c>
      <c r="H129" s="2">
        <v>28.066216216216215</v>
      </c>
    </row>
    <row r="130" spans="1:8" hidden="1" x14ac:dyDescent="0.25">
      <c r="A130">
        <v>131</v>
      </c>
      <c r="B130" t="s">
        <v>21</v>
      </c>
      <c r="C130" t="s">
        <v>22</v>
      </c>
      <c r="D130" t="s">
        <v>8</v>
      </c>
      <c r="E130" s="1" t="s">
        <v>331</v>
      </c>
      <c r="F130">
        <f>VLOOKUP(Tabela14[[#This Row],[ID_COD]],Tabela2[],6,0)</f>
        <v>0</v>
      </c>
      <c r="G130" t="s">
        <v>192</v>
      </c>
      <c r="H130" s="2">
        <v>28.86810810810811</v>
      </c>
    </row>
    <row r="131" spans="1:8" hidden="1" x14ac:dyDescent="0.25">
      <c r="A131">
        <v>132</v>
      </c>
      <c r="B131" t="s">
        <v>21</v>
      </c>
      <c r="C131" t="s">
        <v>22</v>
      </c>
      <c r="D131" t="s">
        <v>8</v>
      </c>
      <c r="E131" s="1" t="s">
        <v>332</v>
      </c>
      <c r="F131">
        <f>VLOOKUP(Tabela14[[#This Row],[ID_COD]],Tabela2[],6,0)</f>
        <v>20</v>
      </c>
      <c r="G131" t="s">
        <v>187</v>
      </c>
      <c r="H131" s="2">
        <v>29.670000000000005</v>
      </c>
    </row>
    <row r="132" spans="1:8" hidden="1" x14ac:dyDescent="0.25">
      <c r="A132">
        <v>133</v>
      </c>
      <c r="B132" t="s">
        <v>21</v>
      </c>
      <c r="C132" t="s">
        <v>22</v>
      </c>
      <c r="D132" t="s">
        <v>8</v>
      </c>
      <c r="E132" s="1" t="s">
        <v>333</v>
      </c>
      <c r="F132">
        <f>VLOOKUP(Tabela14[[#This Row],[ID_COD]],Tabela2[],6,0)</f>
        <v>0</v>
      </c>
      <c r="G132" t="s">
        <v>193</v>
      </c>
      <c r="H132" s="2">
        <v>30.471891891891893</v>
      </c>
    </row>
    <row r="133" spans="1:8" hidden="1" x14ac:dyDescent="0.25">
      <c r="A133">
        <v>134</v>
      </c>
      <c r="B133" t="s">
        <v>21</v>
      </c>
      <c r="C133" t="s">
        <v>22</v>
      </c>
      <c r="D133" t="s">
        <v>8</v>
      </c>
      <c r="E133" s="1" t="s">
        <v>334</v>
      </c>
      <c r="F133">
        <f>VLOOKUP(Tabela14[[#This Row],[ID_COD]],Tabela2[],6,0)</f>
        <v>0</v>
      </c>
      <c r="G133" t="s">
        <v>184</v>
      </c>
      <c r="H133" s="2">
        <v>31.273783783783788</v>
      </c>
    </row>
    <row r="134" spans="1:8" hidden="1" x14ac:dyDescent="0.25">
      <c r="A134">
        <v>135</v>
      </c>
      <c r="B134" t="s">
        <v>21</v>
      </c>
      <c r="C134" t="s">
        <v>22</v>
      </c>
      <c r="D134" t="s">
        <v>8</v>
      </c>
      <c r="E134" s="1" t="s">
        <v>335</v>
      </c>
      <c r="F134">
        <f>VLOOKUP(Tabela14[[#This Row],[ID_COD]],Tabela2[],6,0)</f>
        <v>0</v>
      </c>
      <c r="G134" t="s">
        <v>195</v>
      </c>
      <c r="H134" s="2">
        <v>32.075675675675676</v>
      </c>
    </row>
    <row r="135" spans="1:8" hidden="1" x14ac:dyDescent="0.25">
      <c r="A135">
        <v>136</v>
      </c>
      <c r="B135" t="s">
        <v>21</v>
      </c>
      <c r="C135" t="s">
        <v>22</v>
      </c>
      <c r="D135" t="s">
        <v>8</v>
      </c>
      <c r="E135" s="1" t="s">
        <v>336</v>
      </c>
      <c r="F135">
        <f>VLOOKUP(Tabela14[[#This Row],[ID_COD]],Tabela2[],6,0)</f>
        <v>0</v>
      </c>
      <c r="G135" t="s">
        <v>185</v>
      </c>
      <c r="H135" s="2">
        <v>32.877567567567567</v>
      </c>
    </row>
    <row r="136" spans="1:8" hidden="1" x14ac:dyDescent="0.25">
      <c r="A136" s="7">
        <v>1960</v>
      </c>
      <c r="B136" t="s">
        <v>21</v>
      </c>
      <c r="C136" t="s">
        <v>22</v>
      </c>
      <c r="D136" t="s">
        <v>9</v>
      </c>
      <c r="E136" s="3">
        <v>1460</v>
      </c>
      <c r="F136">
        <v>7</v>
      </c>
      <c r="G136" t="s">
        <v>187</v>
      </c>
      <c r="H136" s="2">
        <v>94.88</v>
      </c>
    </row>
    <row r="137" spans="1:8" hidden="1" x14ac:dyDescent="0.25">
      <c r="A137">
        <v>1775</v>
      </c>
      <c r="B137" t="s">
        <v>21</v>
      </c>
      <c r="C137" t="s">
        <v>22</v>
      </c>
      <c r="D137" t="s">
        <v>9</v>
      </c>
      <c r="E137" s="1" t="s">
        <v>335</v>
      </c>
      <c r="F137">
        <f>VLOOKUP(Tabela14[[#This Row],[ID_COD]],Tabela2[],6,0)</f>
        <v>0</v>
      </c>
      <c r="G137" t="s">
        <v>188</v>
      </c>
      <c r="H137" s="2">
        <v>32.075675675675676</v>
      </c>
    </row>
    <row r="138" spans="1:8" hidden="1" x14ac:dyDescent="0.25">
      <c r="A138">
        <v>1776</v>
      </c>
      <c r="B138" t="s">
        <v>21</v>
      </c>
      <c r="C138" t="s">
        <v>22</v>
      </c>
      <c r="D138" t="s">
        <v>9</v>
      </c>
      <c r="E138" s="1" t="s">
        <v>336</v>
      </c>
      <c r="F138">
        <f>VLOOKUP(Tabela14[[#This Row],[ID_COD]],Tabela2[],6,0)</f>
        <v>0</v>
      </c>
      <c r="G138" t="s">
        <v>191</v>
      </c>
      <c r="H138" s="2">
        <v>32.877567567567567</v>
      </c>
    </row>
    <row r="139" spans="1:8" hidden="1" x14ac:dyDescent="0.25">
      <c r="A139">
        <v>1777</v>
      </c>
      <c r="B139" t="s">
        <v>21</v>
      </c>
      <c r="C139" t="s">
        <v>22</v>
      </c>
      <c r="D139" t="s">
        <v>9</v>
      </c>
      <c r="E139" s="1" t="s">
        <v>141</v>
      </c>
      <c r="F139">
        <f>VLOOKUP(Tabela14[[#This Row],[ID_COD]],Tabela2[],6,0)</f>
        <v>0</v>
      </c>
      <c r="G139" t="s">
        <v>192</v>
      </c>
      <c r="H139" s="2">
        <v>33.679459459459466</v>
      </c>
    </row>
    <row r="140" spans="1:8" hidden="1" x14ac:dyDescent="0.25">
      <c r="A140">
        <v>357</v>
      </c>
      <c r="B140" t="s">
        <v>23</v>
      </c>
      <c r="C140" t="s">
        <v>24</v>
      </c>
      <c r="D140" t="s">
        <v>4</v>
      </c>
      <c r="E140" s="1" t="s">
        <v>326</v>
      </c>
      <c r="F140">
        <f>VLOOKUP(Tabela14[[#This Row],[ID_COD]],Tabela2[],6,0)</f>
        <v>36</v>
      </c>
      <c r="G140" t="s">
        <v>207</v>
      </c>
      <c r="H140" s="2">
        <v>15.8424</v>
      </c>
    </row>
    <row r="141" spans="1:8" hidden="1" x14ac:dyDescent="0.25">
      <c r="A141">
        <v>358</v>
      </c>
      <c r="B141" t="s">
        <v>23</v>
      </c>
      <c r="C141" t="s">
        <v>24</v>
      </c>
      <c r="D141" t="s">
        <v>4</v>
      </c>
      <c r="E141" s="1" t="s">
        <v>327</v>
      </c>
      <c r="F141">
        <f>VLOOKUP(Tabela14[[#This Row],[ID_COD]],Tabela2[],6,0)</f>
        <v>0</v>
      </c>
      <c r="G141" t="s">
        <v>207</v>
      </c>
      <c r="H141" s="2">
        <v>16.596799999999998</v>
      </c>
    </row>
    <row r="142" spans="1:8" hidden="1" x14ac:dyDescent="0.25">
      <c r="A142">
        <v>261</v>
      </c>
      <c r="B142" t="s">
        <v>23</v>
      </c>
      <c r="C142" t="s">
        <v>24</v>
      </c>
      <c r="D142" t="s">
        <v>4</v>
      </c>
      <c r="E142" s="1" t="s">
        <v>328</v>
      </c>
      <c r="F142">
        <f>VLOOKUP(Tabela14[[#This Row],[ID_COD]],Tabela2[],6,0)</f>
        <v>0</v>
      </c>
      <c r="G142" t="s">
        <v>209</v>
      </c>
      <c r="H142" s="2">
        <v>17.351200000000002</v>
      </c>
    </row>
    <row r="143" spans="1:8" hidden="1" x14ac:dyDescent="0.25">
      <c r="A143">
        <v>262</v>
      </c>
      <c r="B143" t="s">
        <v>23</v>
      </c>
      <c r="C143" t="s">
        <v>24</v>
      </c>
      <c r="D143" t="s">
        <v>4</v>
      </c>
      <c r="E143" s="1" t="s">
        <v>329</v>
      </c>
      <c r="F143">
        <f>VLOOKUP(Tabela14[[#This Row],[ID_COD]],Tabela2[],6,0)</f>
        <v>0</v>
      </c>
      <c r="G143" t="s">
        <v>207</v>
      </c>
      <c r="H143" s="2">
        <v>18.105599999999999</v>
      </c>
    </row>
    <row r="144" spans="1:8" hidden="1" x14ac:dyDescent="0.25">
      <c r="A144">
        <v>263</v>
      </c>
      <c r="B144" t="s">
        <v>23</v>
      </c>
      <c r="C144" t="s">
        <v>24</v>
      </c>
      <c r="D144" t="s">
        <v>4</v>
      </c>
      <c r="E144" s="1" t="s">
        <v>330</v>
      </c>
      <c r="F144">
        <f>VLOOKUP(Tabela14[[#This Row],[ID_COD]],Tabela2[],6,0)</f>
        <v>30</v>
      </c>
      <c r="G144" t="s">
        <v>207</v>
      </c>
      <c r="H144" s="2">
        <v>18.86</v>
      </c>
    </row>
    <row r="145" spans="1:8" hidden="1" x14ac:dyDescent="0.25">
      <c r="A145">
        <v>264</v>
      </c>
      <c r="B145" t="s">
        <v>23</v>
      </c>
      <c r="C145" t="s">
        <v>24</v>
      </c>
      <c r="D145" t="s">
        <v>4</v>
      </c>
      <c r="E145" s="1" t="s">
        <v>262</v>
      </c>
      <c r="F145">
        <f>VLOOKUP(Tabela14[[#This Row],[ID_COD]],Tabela2[],6,0)</f>
        <v>20</v>
      </c>
      <c r="G145" t="s">
        <v>216</v>
      </c>
      <c r="H145" s="2">
        <v>19.614399999999996</v>
      </c>
    </row>
    <row r="146" spans="1:8" hidden="1" x14ac:dyDescent="0.25">
      <c r="A146">
        <v>265</v>
      </c>
      <c r="B146" t="s">
        <v>23</v>
      </c>
      <c r="C146" t="s">
        <v>24</v>
      </c>
      <c r="D146" t="s">
        <v>4</v>
      </c>
      <c r="E146" s="1" t="s">
        <v>222</v>
      </c>
      <c r="F146">
        <f>VLOOKUP(Tabela14[[#This Row],[ID_COD]],Tabela2[],6,0)</f>
        <v>0</v>
      </c>
      <c r="G146" t="s">
        <v>218</v>
      </c>
      <c r="H146" s="2">
        <v>20.3688</v>
      </c>
    </row>
    <row r="147" spans="1:8" hidden="1" x14ac:dyDescent="0.25">
      <c r="A147">
        <v>266</v>
      </c>
      <c r="B147" t="s">
        <v>23</v>
      </c>
      <c r="C147" t="s">
        <v>24</v>
      </c>
      <c r="D147" t="s">
        <v>4</v>
      </c>
      <c r="E147" s="1" t="s">
        <v>243</v>
      </c>
      <c r="F147">
        <f>VLOOKUP(Tabela14[[#This Row],[ID_COD]],Tabela2[],6,0)</f>
        <v>30</v>
      </c>
      <c r="G147" t="s">
        <v>207</v>
      </c>
      <c r="H147" s="2">
        <v>21.123200000000001</v>
      </c>
    </row>
    <row r="148" spans="1:8" hidden="1" x14ac:dyDescent="0.25">
      <c r="A148">
        <v>267</v>
      </c>
      <c r="B148" t="s">
        <v>23</v>
      </c>
      <c r="C148" t="s">
        <v>24</v>
      </c>
      <c r="D148" t="s">
        <v>4</v>
      </c>
      <c r="E148" s="1" t="s">
        <v>180</v>
      </c>
      <c r="F148">
        <f>VLOOKUP(Tabela14[[#This Row],[ID_COD]],Tabela2[],6,0)</f>
        <v>0</v>
      </c>
      <c r="G148" t="s">
        <v>219</v>
      </c>
      <c r="H148" s="2">
        <v>21.877599999999997</v>
      </c>
    </row>
    <row r="149" spans="1:8" hidden="1" x14ac:dyDescent="0.25">
      <c r="A149">
        <v>268</v>
      </c>
      <c r="B149" t="s">
        <v>23</v>
      </c>
      <c r="C149" t="s">
        <v>24</v>
      </c>
      <c r="D149" t="s">
        <v>4</v>
      </c>
      <c r="E149" s="1" t="s">
        <v>233</v>
      </c>
      <c r="F149">
        <f>VLOOKUP(Tabela14[[#This Row],[ID_COD]],Tabela2[],6,0)</f>
        <v>0</v>
      </c>
      <c r="G149" t="s">
        <v>220</v>
      </c>
      <c r="H149" s="2">
        <v>22.632000000000001</v>
      </c>
    </row>
    <row r="150" spans="1:8" hidden="1" x14ac:dyDescent="0.25">
      <c r="A150">
        <v>269</v>
      </c>
      <c r="B150" t="s">
        <v>23</v>
      </c>
      <c r="C150" t="s">
        <v>24</v>
      </c>
      <c r="D150" t="s">
        <v>4</v>
      </c>
      <c r="E150" s="1" t="s">
        <v>281</v>
      </c>
      <c r="F150">
        <f>VLOOKUP(Tabela14[[#This Row],[ID_COD]],Tabela2[],6,0)</f>
        <v>0</v>
      </c>
      <c r="G150" t="s">
        <v>221</v>
      </c>
      <c r="H150" s="2">
        <v>23.386399999999998</v>
      </c>
    </row>
    <row r="151" spans="1:8" hidden="1" x14ac:dyDescent="0.25">
      <c r="A151">
        <v>270</v>
      </c>
      <c r="B151" t="s">
        <v>23</v>
      </c>
      <c r="C151" t="s">
        <v>24</v>
      </c>
      <c r="D151" t="s">
        <v>4</v>
      </c>
      <c r="E151" s="1" t="s">
        <v>282</v>
      </c>
      <c r="F151">
        <f>VLOOKUP(Tabela14[[#This Row],[ID_COD]],Tabela2[],6,0)</f>
        <v>0</v>
      </c>
      <c r="G151" t="s">
        <v>223</v>
      </c>
      <c r="H151" s="2">
        <v>23.7636</v>
      </c>
    </row>
    <row r="152" spans="1:8" hidden="1" x14ac:dyDescent="0.25">
      <c r="A152">
        <v>271</v>
      </c>
      <c r="B152" t="s">
        <v>23</v>
      </c>
      <c r="C152" t="s">
        <v>24</v>
      </c>
      <c r="D152" t="s">
        <v>4</v>
      </c>
      <c r="E152" s="1" t="s">
        <v>299</v>
      </c>
      <c r="F152">
        <f>VLOOKUP(Tabela14[[#This Row],[ID_COD]],Tabela2[],6,0)</f>
        <v>0</v>
      </c>
      <c r="G152" t="s">
        <v>225</v>
      </c>
      <c r="H152" s="2">
        <v>24.140799999999999</v>
      </c>
    </row>
    <row r="153" spans="1:8" hidden="1" x14ac:dyDescent="0.25">
      <c r="A153">
        <v>272</v>
      </c>
      <c r="B153" t="s">
        <v>23</v>
      </c>
      <c r="C153" t="s">
        <v>24</v>
      </c>
      <c r="D153" t="s">
        <v>4</v>
      </c>
      <c r="E153" s="1" t="s">
        <v>316</v>
      </c>
      <c r="F153">
        <f>VLOOKUP(Tabela14[[#This Row],[ID_COD]],Tabela2[],6,0)</f>
        <v>0</v>
      </c>
      <c r="G153" t="s">
        <v>226</v>
      </c>
      <c r="H153" s="2">
        <v>24.895199999999999</v>
      </c>
    </row>
    <row r="154" spans="1:8" hidden="1" x14ac:dyDescent="0.25">
      <c r="A154">
        <v>1687</v>
      </c>
      <c r="B154" t="s">
        <v>23</v>
      </c>
      <c r="C154" t="s">
        <v>24</v>
      </c>
      <c r="D154" t="s">
        <v>8</v>
      </c>
      <c r="E154" s="1" t="s">
        <v>329</v>
      </c>
      <c r="F154">
        <f>VLOOKUP(Tabela14[[#This Row],[ID_COD]],Tabela2[],6,0)</f>
        <v>0</v>
      </c>
      <c r="G154" t="s">
        <v>207</v>
      </c>
      <c r="H154" s="2">
        <v>19.313684210526315</v>
      </c>
    </row>
    <row r="155" spans="1:8" hidden="1" x14ac:dyDescent="0.25">
      <c r="A155">
        <v>290</v>
      </c>
      <c r="B155" t="s">
        <v>23</v>
      </c>
      <c r="C155" t="s">
        <v>24</v>
      </c>
      <c r="D155" t="s">
        <v>8</v>
      </c>
      <c r="E155" s="1" t="s">
        <v>285</v>
      </c>
      <c r="F155">
        <f>VLOOKUP(Tabela14[[#This Row],[ID_COD]],Tabela2[],6,0)</f>
        <v>25</v>
      </c>
      <c r="G155" t="s">
        <v>181</v>
      </c>
      <c r="H155" s="2">
        <v>27.361052631578943</v>
      </c>
    </row>
    <row r="156" spans="1:8" hidden="1" x14ac:dyDescent="0.25">
      <c r="A156">
        <v>291</v>
      </c>
      <c r="B156" t="s">
        <v>23</v>
      </c>
      <c r="C156" t="s">
        <v>24</v>
      </c>
      <c r="D156" t="s">
        <v>8</v>
      </c>
      <c r="E156" s="1" t="s">
        <v>302</v>
      </c>
      <c r="F156">
        <f>VLOOKUP(Tabela14[[#This Row],[ID_COD]],Tabela2[],6,0)</f>
        <v>0</v>
      </c>
      <c r="G156" t="s">
        <v>212</v>
      </c>
      <c r="H156" s="2">
        <v>28.16578947368421</v>
      </c>
    </row>
    <row r="157" spans="1:8" hidden="1" x14ac:dyDescent="0.25">
      <c r="A157">
        <v>292</v>
      </c>
      <c r="B157" t="s">
        <v>23</v>
      </c>
      <c r="C157" t="s">
        <v>24</v>
      </c>
      <c r="D157" t="s">
        <v>8</v>
      </c>
      <c r="E157" s="1" t="s">
        <v>331</v>
      </c>
      <c r="F157">
        <f>VLOOKUP(Tabela14[[#This Row],[ID_COD]],Tabela2[],6,0)</f>
        <v>0</v>
      </c>
      <c r="G157" t="s">
        <v>213</v>
      </c>
      <c r="H157" s="2">
        <v>28.970526315789471</v>
      </c>
    </row>
    <row r="158" spans="1:8" hidden="1" x14ac:dyDescent="0.25">
      <c r="A158">
        <v>293</v>
      </c>
      <c r="B158" t="s">
        <v>23</v>
      </c>
      <c r="C158" t="s">
        <v>24</v>
      </c>
      <c r="D158" t="s">
        <v>8</v>
      </c>
      <c r="E158" s="1" t="s">
        <v>332</v>
      </c>
      <c r="F158">
        <f>VLOOKUP(Tabela14[[#This Row],[ID_COD]],Tabela2[],6,0)</f>
        <v>0</v>
      </c>
      <c r="G158" t="s">
        <v>215</v>
      </c>
      <c r="H158" s="2">
        <v>29.775263157894734</v>
      </c>
    </row>
    <row r="159" spans="1:8" hidden="1" x14ac:dyDescent="0.25">
      <c r="A159">
        <v>294</v>
      </c>
      <c r="B159" t="s">
        <v>23</v>
      </c>
      <c r="C159" t="s">
        <v>24</v>
      </c>
      <c r="D159" t="s">
        <v>8</v>
      </c>
      <c r="E159" s="1" t="s">
        <v>333</v>
      </c>
      <c r="F159">
        <f>VLOOKUP(Tabela14[[#This Row],[ID_COD]],Tabela2[],6,0)</f>
        <v>0</v>
      </c>
      <c r="G159" t="s">
        <v>207</v>
      </c>
      <c r="H159" s="2">
        <v>30.58</v>
      </c>
    </row>
    <row r="160" spans="1:8" hidden="1" x14ac:dyDescent="0.25">
      <c r="A160">
        <v>295</v>
      </c>
      <c r="B160" t="s">
        <v>23</v>
      </c>
      <c r="C160" t="s">
        <v>24</v>
      </c>
      <c r="D160" t="s">
        <v>8</v>
      </c>
      <c r="E160" s="1" t="s">
        <v>334</v>
      </c>
      <c r="F160">
        <f>VLOOKUP(Tabela14[[#This Row],[ID_COD]],Tabela2[],6,0)</f>
        <v>20</v>
      </c>
      <c r="G160" t="s">
        <v>217</v>
      </c>
      <c r="H160" s="2">
        <v>31.384736842105259</v>
      </c>
    </row>
    <row r="161" spans="1:8" hidden="1" x14ac:dyDescent="0.25">
      <c r="A161">
        <v>296</v>
      </c>
      <c r="B161" t="s">
        <v>23</v>
      </c>
      <c r="C161" t="s">
        <v>24</v>
      </c>
      <c r="D161" t="s">
        <v>8</v>
      </c>
      <c r="E161" s="1" t="s">
        <v>335</v>
      </c>
      <c r="F161">
        <f>VLOOKUP(Tabela14[[#This Row],[ID_COD]],Tabela2[],6,0)</f>
        <v>20</v>
      </c>
      <c r="G161" t="s">
        <v>186</v>
      </c>
      <c r="H161" s="2">
        <v>32.189473684210526</v>
      </c>
    </row>
    <row r="162" spans="1:8" hidden="1" x14ac:dyDescent="0.25">
      <c r="A162" s="7">
        <v>1961</v>
      </c>
      <c r="B162" t="s">
        <v>23</v>
      </c>
      <c r="C162" t="s">
        <v>24</v>
      </c>
      <c r="D162" s="7" t="s">
        <v>411</v>
      </c>
      <c r="E162" s="3">
        <v>1530</v>
      </c>
      <c r="F162">
        <v>7</v>
      </c>
      <c r="G162" t="s">
        <v>207</v>
      </c>
      <c r="H162" s="2">
        <v>98.7</v>
      </c>
    </row>
    <row r="163" spans="1:8" hidden="1" x14ac:dyDescent="0.25">
      <c r="A163">
        <v>1778</v>
      </c>
      <c r="B163" t="s">
        <v>23</v>
      </c>
      <c r="C163" t="s">
        <v>24</v>
      </c>
      <c r="D163" t="s">
        <v>9</v>
      </c>
      <c r="E163" s="1" t="s">
        <v>335</v>
      </c>
      <c r="F163">
        <f>VLOOKUP(Tabela14[[#This Row],[ID_COD]],Tabela2[],6,0)</f>
        <v>0</v>
      </c>
      <c r="G163" t="s">
        <v>207</v>
      </c>
      <c r="H163" s="2" t="e">
        <v>#N/A</v>
      </c>
    </row>
    <row r="164" spans="1:8" hidden="1" x14ac:dyDescent="0.25">
      <c r="A164">
        <v>1779</v>
      </c>
      <c r="B164" t="s">
        <v>23</v>
      </c>
      <c r="C164" t="s">
        <v>24</v>
      </c>
      <c r="D164" t="s">
        <v>9</v>
      </c>
      <c r="E164" s="1" t="s">
        <v>336</v>
      </c>
      <c r="F164">
        <f>VLOOKUP(Tabela14[[#This Row],[ID_COD]],Tabela2[],6,0)</f>
        <v>0</v>
      </c>
      <c r="G164" t="s">
        <v>210</v>
      </c>
      <c r="H164" s="2" t="e">
        <v>#N/A</v>
      </c>
    </row>
    <row r="165" spans="1:8" hidden="1" x14ac:dyDescent="0.25">
      <c r="A165">
        <v>1780</v>
      </c>
      <c r="B165" t="s">
        <v>23</v>
      </c>
      <c r="C165" t="s">
        <v>24</v>
      </c>
      <c r="D165" t="s">
        <v>9</v>
      </c>
      <c r="E165" s="1" t="s">
        <v>141</v>
      </c>
      <c r="F165">
        <f>VLOOKUP(Tabela14[[#This Row],[ID_COD]],Tabela2[],6,0)</f>
        <v>0</v>
      </c>
      <c r="G165" t="s">
        <v>211</v>
      </c>
      <c r="H165" s="2" t="e">
        <v>#N/A</v>
      </c>
    </row>
    <row r="166" spans="1:8" hidden="1" x14ac:dyDescent="0.25">
      <c r="A166">
        <v>359</v>
      </c>
      <c r="B166" t="s">
        <v>25</v>
      </c>
      <c r="C166" t="s">
        <v>26</v>
      </c>
      <c r="D166" t="s">
        <v>4</v>
      </c>
      <c r="E166" s="1" t="s">
        <v>325</v>
      </c>
      <c r="F166">
        <f>VLOOKUP(Tabela14[[#This Row],[ID_COD]],Tabela2[],6,0)</f>
        <v>36</v>
      </c>
      <c r="G166" t="s">
        <v>227</v>
      </c>
      <c r="H166" s="2">
        <v>15.8</v>
      </c>
    </row>
    <row r="167" spans="1:8" hidden="1" x14ac:dyDescent="0.25">
      <c r="A167">
        <v>273</v>
      </c>
      <c r="B167" t="s">
        <v>25</v>
      </c>
      <c r="C167" t="s">
        <v>26</v>
      </c>
      <c r="D167" t="s">
        <v>4</v>
      </c>
      <c r="E167" s="1" t="s">
        <v>326</v>
      </c>
      <c r="F167">
        <f>VLOOKUP(Tabela14[[#This Row],[ID_COD]],Tabela2[],6,0)</f>
        <v>36</v>
      </c>
      <c r="G167" t="s">
        <v>182</v>
      </c>
      <c r="H167" s="2">
        <v>16.59</v>
      </c>
    </row>
    <row r="168" spans="1:8" hidden="1" x14ac:dyDescent="0.25">
      <c r="A168">
        <v>274</v>
      </c>
      <c r="B168" t="s">
        <v>25</v>
      </c>
      <c r="C168" t="s">
        <v>26</v>
      </c>
      <c r="D168" t="s">
        <v>4</v>
      </c>
      <c r="E168" s="1" t="s">
        <v>327</v>
      </c>
      <c r="F168">
        <f>VLOOKUP(Tabela14[[#This Row],[ID_COD]],Tabela2[],6,0)</f>
        <v>0</v>
      </c>
      <c r="G168" t="s">
        <v>228</v>
      </c>
      <c r="H168" s="2">
        <v>17.38</v>
      </c>
    </row>
    <row r="169" spans="1:8" hidden="1" x14ac:dyDescent="0.25">
      <c r="A169">
        <v>275</v>
      </c>
      <c r="B169" t="s">
        <v>25</v>
      </c>
      <c r="C169" t="s">
        <v>26</v>
      </c>
      <c r="D169" t="s">
        <v>4</v>
      </c>
      <c r="E169" s="1" t="s">
        <v>328</v>
      </c>
      <c r="F169">
        <f>VLOOKUP(Tabela14[[#This Row],[ID_COD]],Tabela2[],6,0)</f>
        <v>0</v>
      </c>
      <c r="G169" t="s">
        <v>228</v>
      </c>
      <c r="H169" s="2">
        <v>18.170000000000002</v>
      </c>
    </row>
    <row r="170" spans="1:8" hidden="1" x14ac:dyDescent="0.25">
      <c r="A170">
        <v>276</v>
      </c>
      <c r="B170" t="s">
        <v>25</v>
      </c>
      <c r="C170" t="s">
        <v>26</v>
      </c>
      <c r="D170" t="s">
        <v>4</v>
      </c>
      <c r="E170" s="1" t="s">
        <v>329</v>
      </c>
      <c r="F170">
        <f>VLOOKUP(Tabela14[[#This Row],[ID_COD]],Tabela2[],6,0)</f>
        <v>30</v>
      </c>
      <c r="G170" t="s">
        <v>227</v>
      </c>
      <c r="H170" s="2">
        <v>18.959999999999997</v>
      </c>
    </row>
    <row r="171" spans="1:8" hidden="1" x14ac:dyDescent="0.25">
      <c r="A171">
        <v>277</v>
      </c>
      <c r="B171" t="s">
        <v>25</v>
      </c>
      <c r="C171" t="s">
        <v>26</v>
      </c>
      <c r="D171" t="s">
        <v>4</v>
      </c>
      <c r="E171" s="1" t="s">
        <v>330</v>
      </c>
      <c r="F171">
        <f>VLOOKUP(Tabela14[[#This Row],[ID_COD]],Tabela2[],6,0)</f>
        <v>30</v>
      </c>
      <c r="G171" t="s">
        <v>236</v>
      </c>
      <c r="H171" s="2">
        <v>19.75</v>
      </c>
    </row>
    <row r="172" spans="1:8" hidden="1" x14ac:dyDescent="0.25">
      <c r="A172">
        <v>278</v>
      </c>
      <c r="B172" t="s">
        <v>25</v>
      </c>
      <c r="C172" t="s">
        <v>26</v>
      </c>
      <c r="D172" t="s">
        <v>4</v>
      </c>
      <c r="E172" s="1" t="s">
        <v>262</v>
      </c>
      <c r="F172">
        <f>VLOOKUP(Tabela14[[#This Row],[ID_COD]],Tabela2[],6,0)</f>
        <v>0</v>
      </c>
      <c r="G172" t="s">
        <v>238</v>
      </c>
      <c r="H172" s="2">
        <v>20.54</v>
      </c>
    </row>
    <row r="173" spans="1:8" hidden="1" x14ac:dyDescent="0.25">
      <c r="A173">
        <v>279</v>
      </c>
      <c r="B173" t="s">
        <v>25</v>
      </c>
      <c r="C173" t="s">
        <v>26</v>
      </c>
      <c r="D173" t="s">
        <v>4</v>
      </c>
      <c r="E173" s="1" t="s">
        <v>222</v>
      </c>
      <c r="F173">
        <f>VLOOKUP(Tabela14[[#This Row],[ID_COD]],Tabela2[],6,0)</f>
        <v>30</v>
      </c>
      <c r="G173" t="s">
        <v>241</v>
      </c>
      <c r="H173" s="2">
        <v>19.88</v>
      </c>
    </row>
    <row r="174" spans="1:8" hidden="1" x14ac:dyDescent="0.25">
      <c r="A174">
        <v>280</v>
      </c>
      <c r="B174" t="s">
        <v>25</v>
      </c>
      <c r="C174" t="s">
        <v>26</v>
      </c>
      <c r="D174" t="s">
        <v>4</v>
      </c>
      <c r="E174" s="1" t="s">
        <v>243</v>
      </c>
      <c r="F174">
        <f>VLOOKUP(Tabela14[[#This Row],[ID_COD]],Tabela2[],6,0)</f>
        <v>30</v>
      </c>
      <c r="G174" t="s">
        <v>244</v>
      </c>
      <c r="H174" s="2">
        <v>22.12</v>
      </c>
    </row>
    <row r="175" spans="1:8" hidden="1" x14ac:dyDescent="0.25">
      <c r="A175">
        <v>281</v>
      </c>
      <c r="B175" t="s">
        <v>25</v>
      </c>
      <c r="C175" t="s">
        <v>26</v>
      </c>
      <c r="D175" t="s">
        <v>4</v>
      </c>
      <c r="E175" s="1" t="s">
        <v>180</v>
      </c>
      <c r="F175">
        <f>VLOOKUP(Tabela14[[#This Row],[ID_COD]],Tabela2[],6,0)</f>
        <v>0</v>
      </c>
      <c r="G175" t="s">
        <v>228</v>
      </c>
      <c r="H175" s="2">
        <v>22.91</v>
      </c>
    </row>
    <row r="176" spans="1:8" hidden="1" x14ac:dyDescent="0.25">
      <c r="A176">
        <v>282</v>
      </c>
      <c r="B176" t="s">
        <v>25</v>
      </c>
      <c r="C176" t="s">
        <v>26</v>
      </c>
      <c r="D176" t="s">
        <v>4</v>
      </c>
      <c r="E176" s="1" t="s">
        <v>233</v>
      </c>
      <c r="F176">
        <f>VLOOKUP(Tabela14[[#This Row],[ID_COD]],Tabela2[],6,0)</f>
        <v>25</v>
      </c>
      <c r="G176" t="s">
        <v>246</v>
      </c>
      <c r="H176" s="2">
        <v>23.7</v>
      </c>
    </row>
    <row r="177" spans="1:8" hidden="1" x14ac:dyDescent="0.25">
      <c r="A177">
        <v>283</v>
      </c>
      <c r="B177" t="s">
        <v>25</v>
      </c>
      <c r="C177" t="s">
        <v>26</v>
      </c>
      <c r="D177" t="s">
        <v>4</v>
      </c>
      <c r="E177" s="1" t="s">
        <v>281</v>
      </c>
      <c r="F177">
        <f>VLOOKUP(Tabela14[[#This Row],[ID_COD]],Tabela2[],6,0)</f>
        <v>0</v>
      </c>
      <c r="G177" t="s">
        <v>247</v>
      </c>
      <c r="H177" s="2">
        <v>24.490000000000002</v>
      </c>
    </row>
    <row r="178" spans="1:8" hidden="1" x14ac:dyDescent="0.25">
      <c r="A178">
        <v>284</v>
      </c>
      <c r="B178" t="s">
        <v>25</v>
      </c>
      <c r="C178" t="s">
        <v>26</v>
      </c>
      <c r="D178" t="s">
        <v>4</v>
      </c>
      <c r="E178" s="1" t="s">
        <v>299</v>
      </c>
      <c r="F178">
        <f>VLOOKUP(Tabela14[[#This Row],[ID_COD]],Tabela2[],6,0)</f>
        <v>25</v>
      </c>
      <c r="G178" t="s">
        <v>248</v>
      </c>
      <c r="H178" s="2">
        <v>25.28</v>
      </c>
    </row>
    <row r="179" spans="1:8" hidden="1" x14ac:dyDescent="0.25">
      <c r="A179">
        <v>285</v>
      </c>
      <c r="B179" t="s">
        <v>25</v>
      </c>
      <c r="C179" t="s">
        <v>26</v>
      </c>
      <c r="D179" t="s">
        <v>4</v>
      </c>
      <c r="E179" s="1" t="s">
        <v>316</v>
      </c>
      <c r="F179">
        <f>VLOOKUP(Tabela14[[#This Row],[ID_COD]],Tabela2[],6,0)</f>
        <v>0</v>
      </c>
      <c r="G179" t="s">
        <v>249</v>
      </c>
      <c r="H179" s="2">
        <v>26.069999999999997</v>
      </c>
    </row>
    <row r="180" spans="1:8" hidden="1" x14ac:dyDescent="0.25">
      <c r="A180" s="4">
        <v>286</v>
      </c>
      <c r="B180" s="4" t="s">
        <v>25</v>
      </c>
      <c r="C180" s="4" t="s">
        <v>26</v>
      </c>
      <c r="D180" s="4" t="s">
        <v>4</v>
      </c>
      <c r="E180" s="5" t="s">
        <v>285</v>
      </c>
      <c r="F180">
        <f>VLOOKUP(Tabela14[[#This Row],[ID_COD]],Tabela2[],6,0)</f>
        <v>20</v>
      </c>
      <c r="G180" s="4" t="s">
        <v>250</v>
      </c>
      <c r="H180" s="6">
        <v>26.86</v>
      </c>
    </row>
    <row r="181" spans="1:8" hidden="1" x14ac:dyDescent="0.25">
      <c r="A181">
        <v>287</v>
      </c>
      <c r="B181" t="s">
        <v>25</v>
      </c>
      <c r="C181" t="s">
        <v>26</v>
      </c>
      <c r="D181" t="s">
        <v>4</v>
      </c>
      <c r="E181" s="1" t="s">
        <v>302</v>
      </c>
      <c r="F181">
        <f>VLOOKUP(Tabela14[[#This Row],[ID_COD]],Tabela2[],6,0)</f>
        <v>0</v>
      </c>
      <c r="G181" t="s">
        <v>228</v>
      </c>
      <c r="H181" s="2">
        <v>27.65</v>
      </c>
    </row>
    <row r="182" spans="1:8" hidden="1" x14ac:dyDescent="0.25">
      <c r="A182">
        <v>288</v>
      </c>
      <c r="B182" t="s">
        <v>25</v>
      </c>
      <c r="C182" t="s">
        <v>26</v>
      </c>
      <c r="D182" t="s">
        <v>4</v>
      </c>
      <c r="E182" s="1" t="s">
        <v>331</v>
      </c>
      <c r="F182">
        <f>VLOOKUP(Tabela14[[#This Row],[ID_COD]],Tabela2[],6,0)</f>
        <v>0</v>
      </c>
      <c r="G182" t="s">
        <v>251</v>
      </c>
      <c r="H182" s="2">
        <v>28.44</v>
      </c>
    </row>
    <row r="183" spans="1:8" hidden="1" x14ac:dyDescent="0.25">
      <c r="A183">
        <v>289</v>
      </c>
      <c r="B183" t="s">
        <v>25</v>
      </c>
      <c r="C183" t="s">
        <v>26</v>
      </c>
      <c r="D183" t="s">
        <v>4</v>
      </c>
      <c r="E183" s="1" t="s">
        <v>332</v>
      </c>
      <c r="F183">
        <f>VLOOKUP(Tabela14[[#This Row],[ID_COD]],Tabela2[],6,0)</f>
        <v>0</v>
      </c>
      <c r="G183" t="s">
        <v>252</v>
      </c>
      <c r="H183" s="2">
        <v>29.229999999999997</v>
      </c>
    </row>
    <row r="184" spans="1:8" hidden="1" x14ac:dyDescent="0.25">
      <c r="A184">
        <v>1636</v>
      </c>
      <c r="B184" t="s">
        <v>25</v>
      </c>
      <c r="C184" t="s">
        <v>26</v>
      </c>
      <c r="D184" t="s">
        <v>8</v>
      </c>
      <c r="E184" s="1" t="s">
        <v>325</v>
      </c>
      <c r="F184">
        <f>VLOOKUP(Tabela14[[#This Row],[ID_COD]],Tabela2[],6,0)</f>
        <v>0</v>
      </c>
      <c r="G184" t="s">
        <v>227</v>
      </c>
      <c r="H184" s="2">
        <v>16.068292682926828</v>
      </c>
    </row>
    <row r="185" spans="1:8" hidden="1" x14ac:dyDescent="0.25">
      <c r="A185">
        <v>1637</v>
      </c>
      <c r="B185" t="s">
        <v>25</v>
      </c>
      <c r="C185" t="s">
        <v>26</v>
      </c>
      <c r="D185" t="s">
        <v>8</v>
      </c>
      <c r="E185" s="1" t="s">
        <v>328</v>
      </c>
      <c r="F185">
        <f>VLOOKUP(Tabela14[[#This Row],[ID_COD]],Tabela2[],6,0)</f>
        <v>0</v>
      </c>
      <c r="G185" t="s">
        <v>227</v>
      </c>
      <c r="H185" s="2">
        <v>18.478536585365852</v>
      </c>
    </row>
    <row r="186" spans="1:8" hidden="1" x14ac:dyDescent="0.25">
      <c r="A186">
        <v>297</v>
      </c>
      <c r="B186" t="s">
        <v>25</v>
      </c>
      <c r="C186" t="s">
        <v>26</v>
      </c>
      <c r="D186" t="s">
        <v>8</v>
      </c>
      <c r="E186" s="1" t="s">
        <v>333</v>
      </c>
      <c r="F186">
        <f>VLOOKUP(Tabela14[[#This Row],[ID_COD]],Tabela2[],6,0)</f>
        <v>0</v>
      </c>
      <c r="G186" t="s">
        <v>230</v>
      </c>
      <c r="H186" s="2">
        <v>30.529756097560973</v>
      </c>
    </row>
    <row r="187" spans="1:8" hidden="1" x14ac:dyDescent="0.25">
      <c r="A187">
        <v>298</v>
      </c>
      <c r="B187" t="s">
        <v>25</v>
      </c>
      <c r="C187" t="s">
        <v>26</v>
      </c>
      <c r="D187" t="s">
        <v>8</v>
      </c>
      <c r="E187" s="1" t="s">
        <v>334</v>
      </c>
      <c r="F187">
        <f>VLOOKUP(Tabela14[[#This Row],[ID_COD]],Tabela2[],6,0)</f>
        <v>0</v>
      </c>
      <c r="G187" t="s">
        <v>231</v>
      </c>
      <c r="H187" s="2">
        <v>31.333170731707312</v>
      </c>
    </row>
    <row r="188" spans="1:8" hidden="1" x14ac:dyDescent="0.25">
      <c r="A188">
        <v>299</v>
      </c>
      <c r="B188" t="s">
        <v>25</v>
      </c>
      <c r="C188" t="s">
        <v>26</v>
      </c>
      <c r="D188" t="s">
        <v>8</v>
      </c>
      <c r="E188" s="1" t="s">
        <v>335</v>
      </c>
      <c r="F188">
        <f>VLOOKUP(Tabela14[[#This Row],[ID_COD]],Tabela2[],6,0)</f>
        <v>20</v>
      </c>
      <c r="G188" t="s">
        <v>232</v>
      </c>
      <c r="H188" s="2">
        <v>32.136585365853655</v>
      </c>
    </row>
    <row r="189" spans="1:8" hidden="1" x14ac:dyDescent="0.25">
      <c r="A189">
        <v>300</v>
      </c>
      <c r="B189" t="s">
        <v>25</v>
      </c>
      <c r="C189" t="s">
        <v>26</v>
      </c>
      <c r="D189" t="s">
        <v>8</v>
      </c>
      <c r="E189" s="1" t="s">
        <v>336</v>
      </c>
      <c r="F189">
        <f>VLOOKUP(Tabela14[[#This Row],[ID_COD]],Tabela2[],6,0)</f>
        <v>20</v>
      </c>
      <c r="G189" t="s">
        <v>234</v>
      </c>
      <c r="H189" s="2">
        <v>32.94</v>
      </c>
    </row>
    <row r="190" spans="1:8" hidden="1" x14ac:dyDescent="0.25">
      <c r="A190">
        <v>301</v>
      </c>
      <c r="B190" t="s">
        <v>25</v>
      </c>
      <c r="C190" t="s">
        <v>26</v>
      </c>
      <c r="D190" t="s">
        <v>8</v>
      </c>
      <c r="E190" s="1" t="s">
        <v>141</v>
      </c>
      <c r="F190">
        <f>VLOOKUP(Tabela14[[#This Row],[ID_COD]],Tabela2[],6,0)</f>
        <v>0</v>
      </c>
      <c r="G190" t="s">
        <v>235</v>
      </c>
      <c r="H190" s="2">
        <v>33.74341463414634</v>
      </c>
    </row>
    <row r="191" spans="1:8" hidden="1" x14ac:dyDescent="0.25">
      <c r="A191">
        <v>302</v>
      </c>
      <c r="B191" t="s">
        <v>25</v>
      </c>
      <c r="C191" t="s">
        <v>26</v>
      </c>
      <c r="D191" t="s">
        <v>8</v>
      </c>
      <c r="E191" s="1" t="s">
        <v>164</v>
      </c>
      <c r="F191">
        <f>VLOOKUP(Tabela14[[#This Row],[ID_COD]],Tabela2[],6,0)</f>
        <v>0</v>
      </c>
      <c r="G191" t="s">
        <v>237</v>
      </c>
      <c r="H191" s="2">
        <v>34.546829268292683</v>
      </c>
    </row>
    <row r="192" spans="1:8" hidden="1" x14ac:dyDescent="0.25">
      <c r="A192">
        <v>303</v>
      </c>
      <c r="B192" t="s">
        <v>25</v>
      </c>
      <c r="C192" t="s">
        <v>26</v>
      </c>
      <c r="D192" t="s">
        <v>8</v>
      </c>
      <c r="E192" s="1" t="s">
        <v>337</v>
      </c>
      <c r="F192">
        <f>VLOOKUP(Tabela14[[#This Row],[ID_COD]],Tabela2[],6,0)</f>
        <v>0</v>
      </c>
      <c r="G192" t="s">
        <v>239</v>
      </c>
      <c r="H192" s="2">
        <v>35.350243902439018</v>
      </c>
    </row>
    <row r="193" spans="1:8" hidden="1" x14ac:dyDescent="0.25">
      <c r="A193">
        <v>304</v>
      </c>
      <c r="B193" t="s">
        <v>25</v>
      </c>
      <c r="C193" t="s">
        <v>26</v>
      </c>
      <c r="D193" t="s">
        <v>8</v>
      </c>
      <c r="E193" s="1" t="s">
        <v>338</v>
      </c>
      <c r="F193">
        <f>VLOOKUP(Tabela14[[#This Row],[ID_COD]],Tabela2[],6,0)</f>
        <v>0</v>
      </c>
      <c r="G193" t="s">
        <v>242</v>
      </c>
      <c r="H193" s="2">
        <v>36.153658536585361</v>
      </c>
    </row>
    <row r="194" spans="1:8" hidden="1" x14ac:dyDescent="0.25">
      <c r="A194" s="7">
        <v>1962</v>
      </c>
      <c r="B194" t="s">
        <v>25</v>
      </c>
      <c r="C194" t="s">
        <v>26</v>
      </c>
      <c r="D194" t="s">
        <v>9</v>
      </c>
      <c r="E194" s="3">
        <v>1650</v>
      </c>
      <c r="F194">
        <v>7</v>
      </c>
      <c r="G194" t="s">
        <v>227</v>
      </c>
      <c r="H194" s="2">
        <v>107.44</v>
      </c>
    </row>
    <row r="195" spans="1:8" hidden="1" x14ac:dyDescent="0.25">
      <c r="A195">
        <v>1781</v>
      </c>
      <c r="B195" t="s">
        <v>25</v>
      </c>
      <c r="C195" t="s">
        <v>26</v>
      </c>
      <c r="D195" t="s">
        <v>9</v>
      </c>
      <c r="E195" s="1" t="s">
        <v>335</v>
      </c>
      <c r="F195">
        <f>VLOOKUP(Tabela14[[#This Row],[ID_COD]],Tabela2[],6,0)</f>
        <v>0</v>
      </c>
      <c r="G195" t="s">
        <v>227</v>
      </c>
      <c r="H195" s="2" t="e">
        <v>#N/A</v>
      </c>
    </row>
    <row r="196" spans="1:8" hidden="1" x14ac:dyDescent="0.25">
      <c r="A196">
        <v>1782</v>
      </c>
      <c r="B196" t="s">
        <v>25</v>
      </c>
      <c r="C196" t="s">
        <v>26</v>
      </c>
      <c r="D196" t="s">
        <v>9</v>
      </c>
      <c r="E196" s="1" t="s">
        <v>336</v>
      </c>
      <c r="F196">
        <f>VLOOKUP(Tabela14[[#This Row],[ID_COD]],Tabela2[],6,0)</f>
        <v>0</v>
      </c>
      <c r="G196" t="s">
        <v>229</v>
      </c>
      <c r="H196" s="2" t="e">
        <v>#N/A</v>
      </c>
    </row>
    <row r="197" spans="1:8" x14ac:dyDescent="0.25">
      <c r="A197">
        <v>1644</v>
      </c>
      <c r="B197" t="s">
        <v>27</v>
      </c>
      <c r="C197" t="s">
        <v>29</v>
      </c>
      <c r="D197" t="s">
        <v>28</v>
      </c>
      <c r="E197" s="1" t="s">
        <v>322</v>
      </c>
      <c r="F197">
        <f>VLOOKUP(Tabela14[[#This Row],[ID_COD]],Tabela2[],6,0)</f>
        <v>0</v>
      </c>
      <c r="G197" t="s">
        <v>171</v>
      </c>
      <c r="H197" s="2">
        <v>3.95</v>
      </c>
    </row>
    <row r="198" spans="1:8" x14ac:dyDescent="0.25">
      <c r="A198">
        <v>1589</v>
      </c>
      <c r="B198" t="s">
        <v>27</v>
      </c>
      <c r="C198" t="s">
        <v>30</v>
      </c>
      <c r="D198" t="s">
        <v>28</v>
      </c>
      <c r="E198" s="1" t="s">
        <v>322</v>
      </c>
      <c r="F198">
        <f>VLOOKUP(Tabela14[[#This Row],[ID_COD]],Tabela2[],6,0)</f>
        <v>110</v>
      </c>
      <c r="G198" t="s">
        <v>111</v>
      </c>
      <c r="H198" s="2">
        <v>4.29</v>
      </c>
    </row>
    <row r="199" spans="1:8" x14ac:dyDescent="0.25">
      <c r="A199">
        <v>1590</v>
      </c>
      <c r="B199" t="s">
        <v>27</v>
      </c>
      <c r="C199" t="s">
        <v>31</v>
      </c>
      <c r="D199" t="s">
        <v>28</v>
      </c>
      <c r="E199" s="1" t="s">
        <v>322</v>
      </c>
      <c r="F199">
        <f>VLOOKUP(Tabela14[[#This Row],[ID_COD]],Tabela2[],6,0)</f>
        <v>110</v>
      </c>
      <c r="G199" t="s">
        <v>126</v>
      </c>
      <c r="H199" s="2">
        <v>5.3</v>
      </c>
    </row>
    <row r="200" spans="1:8" x14ac:dyDescent="0.25">
      <c r="A200">
        <v>1592</v>
      </c>
      <c r="B200" t="s">
        <v>27</v>
      </c>
      <c r="C200" t="s">
        <v>32</v>
      </c>
      <c r="D200" t="s">
        <v>28</v>
      </c>
      <c r="E200" s="1" t="s">
        <v>322</v>
      </c>
      <c r="F200">
        <f>VLOOKUP(Tabela14[[#This Row],[ID_COD]],Tabela2[],6,0)</f>
        <v>90</v>
      </c>
      <c r="G200" t="s">
        <v>81</v>
      </c>
      <c r="H200" s="2">
        <v>6.08</v>
      </c>
    </row>
    <row r="201" spans="1:8" x14ac:dyDescent="0.25">
      <c r="A201">
        <v>1593</v>
      </c>
      <c r="B201" t="s">
        <v>27</v>
      </c>
      <c r="C201" t="s">
        <v>33</v>
      </c>
      <c r="D201" t="s">
        <v>28</v>
      </c>
      <c r="E201" s="1" t="s">
        <v>322</v>
      </c>
      <c r="F201">
        <f>VLOOKUP(Tabela14[[#This Row],[ID_COD]],Tabela2[],6,0)</f>
        <v>70</v>
      </c>
      <c r="G201" t="s">
        <v>88</v>
      </c>
      <c r="H201" s="2">
        <v>7.83</v>
      </c>
    </row>
    <row r="202" spans="1:8" x14ac:dyDescent="0.25">
      <c r="B202" t="s">
        <v>27</v>
      </c>
      <c r="C202" t="s">
        <v>34</v>
      </c>
      <c r="D202" t="s">
        <v>28</v>
      </c>
      <c r="E202" s="1" t="s">
        <v>322</v>
      </c>
      <c r="F202" t="e">
        <f>VLOOKUP(Tabela14[[#This Row],[ID_COD]],Tabela2[],6,0)</f>
        <v>#N/A</v>
      </c>
      <c r="H202" s="2" t="e">
        <v>#N/A</v>
      </c>
    </row>
    <row r="203" spans="1:8" x14ac:dyDescent="0.25">
      <c r="A203">
        <v>1594</v>
      </c>
      <c r="B203" t="s">
        <v>27</v>
      </c>
      <c r="C203" t="s">
        <v>35</v>
      </c>
      <c r="D203" t="s">
        <v>28</v>
      </c>
      <c r="E203" s="1" t="s">
        <v>322</v>
      </c>
      <c r="F203">
        <f>VLOOKUP(Tabela14[[#This Row],[ID_COD]],Tabela2[],6,0)</f>
        <v>50</v>
      </c>
      <c r="G203" t="s">
        <v>97</v>
      </c>
      <c r="H203" s="2">
        <v>11.6</v>
      </c>
    </row>
    <row r="204" spans="1:8" x14ac:dyDescent="0.25">
      <c r="B204" t="s">
        <v>27</v>
      </c>
      <c r="C204" t="s">
        <v>36</v>
      </c>
      <c r="D204" t="s">
        <v>28</v>
      </c>
      <c r="E204" s="1" t="s">
        <v>322</v>
      </c>
      <c r="F204" t="e">
        <f>VLOOKUP(Tabela14[[#This Row],[ID_COD]],Tabela2[],6,0)</f>
        <v>#N/A</v>
      </c>
      <c r="H204" s="2" t="e">
        <v>#N/A</v>
      </c>
    </row>
    <row r="205" spans="1:8" x14ac:dyDescent="0.25">
      <c r="A205">
        <v>1595</v>
      </c>
      <c r="B205" t="s">
        <v>27</v>
      </c>
      <c r="C205" t="s">
        <v>37</v>
      </c>
      <c r="D205" t="s">
        <v>28</v>
      </c>
      <c r="E205" s="1" t="s">
        <v>322</v>
      </c>
      <c r="F205">
        <f>VLOOKUP(Tabela14[[#This Row],[ID_COD]],Tabela2[],6,0)</f>
        <v>100</v>
      </c>
      <c r="G205" t="s">
        <v>120</v>
      </c>
      <c r="H205" s="2">
        <v>5.81</v>
      </c>
    </row>
    <row r="206" spans="1:8" x14ac:dyDescent="0.25">
      <c r="A206">
        <v>1596</v>
      </c>
      <c r="B206" t="s">
        <v>27</v>
      </c>
      <c r="C206" t="s">
        <v>38</v>
      </c>
      <c r="D206" t="s">
        <v>28</v>
      </c>
      <c r="E206" s="1" t="s">
        <v>322</v>
      </c>
      <c r="F206">
        <f>VLOOKUP(Tabela14[[#This Row],[ID_COD]],Tabela2[],6,0)</f>
        <v>90</v>
      </c>
      <c r="G206" t="s">
        <v>132</v>
      </c>
      <c r="H206" s="2">
        <v>7.32</v>
      </c>
    </row>
    <row r="207" spans="1:8" x14ac:dyDescent="0.25">
      <c r="A207">
        <v>1597</v>
      </c>
      <c r="B207" t="s">
        <v>27</v>
      </c>
      <c r="C207" t="s">
        <v>39</v>
      </c>
      <c r="D207" t="s">
        <v>28</v>
      </c>
      <c r="E207" s="1" t="s">
        <v>322</v>
      </c>
      <c r="F207">
        <f>VLOOKUP(Tabela14[[#This Row],[ID_COD]],Tabela2[],6,0)</f>
        <v>75</v>
      </c>
      <c r="G207" t="s">
        <v>84</v>
      </c>
      <c r="H207" s="2">
        <v>8.58</v>
      </c>
    </row>
    <row r="208" spans="1:8" x14ac:dyDescent="0.25">
      <c r="A208">
        <v>1598</v>
      </c>
      <c r="B208" t="s">
        <v>27</v>
      </c>
      <c r="C208" t="s">
        <v>40</v>
      </c>
      <c r="D208" t="s">
        <v>28</v>
      </c>
      <c r="E208" s="1" t="s">
        <v>322</v>
      </c>
      <c r="F208">
        <f>VLOOKUP(Tabela14[[#This Row],[ID_COD]],Tabela2[],6,0)</f>
        <v>60</v>
      </c>
      <c r="G208" t="s">
        <v>92</v>
      </c>
      <c r="H208" s="2">
        <v>11.12</v>
      </c>
    </row>
    <row r="209" spans="1:8" x14ac:dyDescent="0.25">
      <c r="B209" t="s">
        <v>27</v>
      </c>
      <c r="C209" t="s">
        <v>41</v>
      </c>
      <c r="D209" t="s">
        <v>28</v>
      </c>
      <c r="E209" s="1" t="s">
        <v>322</v>
      </c>
      <c r="F209" t="e">
        <f>VLOOKUP(Tabela14[[#This Row],[ID_COD]],Tabela2[],6,0)</f>
        <v>#N/A</v>
      </c>
      <c r="H209" s="2" t="e">
        <v>#N/A</v>
      </c>
    </row>
    <row r="210" spans="1:8" x14ac:dyDescent="0.25">
      <c r="A210">
        <v>1599</v>
      </c>
      <c r="B210" t="s">
        <v>27</v>
      </c>
      <c r="C210" t="s">
        <v>42</v>
      </c>
      <c r="D210" t="s">
        <v>28</v>
      </c>
      <c r="E210" s="1" t="s">
        <v>322</v>
      </c>
      <c r="F210">
        <f>VLOOKUP(Tabela14[[#This Row],[ID_COD]],Tabela2[],6,0)</f>
        <v>40</v>
      </c>
      <c r="G210" t="s">
        <v>102</v>
      </c>
      <c r="H210" s="2">
        <v>15.92</v>
      </c>
    </row>
    <row r="211" spans="1:8" x14ac:dyDescent="0.25">
      <c r="B211" t="s">
        <v>27</v>
      </c>
      <c r="C211" t="s">
        <v>44</v>
      </c>
      <c r="D211" t="s">
        <v>43</v>
      </c>
      <c r="E211" s="1" t="s">
        <v>322</v>
      </c>
      <c r="F211" t="e">
        <f>VLOOKUP(Tabela14[[#This Row],[ID_COD]],Tabela2[],6,0)</f>
        <v>#N/A</v>
      </c>
      <c r="H211" s="2">
        <v>4.2699999999999996</v>
      </c>
    </row>
    <row r="212" spans="1:8" x14ac:dyDescent="0.25">
      <c r="A212">
        <v>1600</v>
      </c>
      <c r="B212" t="s">
        <v>27</v>
      </c>
      <c r="C212" t="s">
        <v>45</v>
      </c>
      <c r="D212" t="s">
        <v>43</v>
      </c>
      <c r="E212" s="1" t="s">
        <v>322</v>
      </c>
      <c r="F212">
        <f>VLOOKUP(Tabela14[[#This Row],[ID_COD]],Tabela2[],6,0)</f>
        <v>0</v>
      </c>
      <c r="G212" t="s">
        <v>112</v>
      </c>
      <c r="H212" s="2">
        <v>4.6399999999999997</v>
      </c>
    </row>
    <row r="213" spans="1:8" x14ac:dyDescent="0.25">
      <c r="A213">
        <v>1601</v>
      </c>
      <c r="B213" t="s">
        <v>27</v>
      </c>
      <c r="C213" t="s">
        <v>46</v>
      </c>
      <c r="D213" t="s">
        <v>43</v>
      </c>
      <c r="E213" s="1" t="s">
        <v>322</v>
      </c>
      <c r="F213">
        <f>VLOOKUP(Tabela14[[#This Row],[ID_COD]],Tabela2[],6,0)</f>
        <v>0</v>
      </c>
      <c r="G213" t="s">
        <v>74</v>
      </c>
      <c r="H213" s="2">
        <v>5.74</v>
      </c>
    </row>
    <row r="214" spans="1:8" x14ac:dyDescent="0.25">
      <c r="A214">
        <v>1602</v>
      </c>
      <c r="B214" t="s">
        <v>27</v>
      </c>
      <c r="C214" t="s">
        <v>47</v>
      </c>
      <c r="D214" t="s">
        <v>43</v>
      </c>
      <c r="E214" s="1" t="s">
        <v>322</v>
      </c>
      <c r="F214">
        <f>VLOOKUP(Tabela14[[#This Row],[ID_COD]],Tabela2[],6,0)</f>
        <v>0</v>
      </c>
      <c r="G214" t="s">
        <v>139</v>
      </c>
      <c r="H214" s="2">
        <v>6.57</v>
      </c>
    </row>
    <row r="215" spans="1:8" x14ac:dyDescent="0.25">
      <c r="A215">
        <v>1603</v>
      </c>
      <c r="B215" t="s">
        <v>27</v>
      </c>
      <c r="C215" t="s">
        <v>48</v>
      </c>
      <c r="D215" t="s">
        <v>43</v>
      </c>
      <c r="E215" s="1" t="s">
        <v>322</v>
      </c>
      <c r="F215">
        <f>VLOOKUP(Tabela14[[#This Row],[ID_COD]],Tabela2[],6,0)</f>
        <v>0</v>
      </c>
      <c r="G215" t="s">
        <v>89</v>
      </c>
      <c r="H215" s="2">
        <v>8.4499999999999993</v>
      </c>
    </row>
    <row r="216" spans="1:8" x14ac:dyDescent="0.25">
      <c r="B216" t="s">
        <v>27</v>
      </c>
      <c r="C216" t="s">
        <v>49</v>
      </c>
      <c r="D216" t="s">
        <v>43</v>
      </c>
      <c r="E216" s="1" t="s">
        <v>322</v>
      </c>
      <c r="F216" t="e">
        <f>VLOOKUP(Tabela14[[#This Row],[ID_COD]],Tabela2[],6,0)</f>
        <v>#N/A</v>
      </c>
      <c r="H216" s="2" t="e">
        <v>#N/A</v>
      </c>
    </row>
    <row r="217" spans="1:8" x14ac:dyDescent="0.25">
      <c r="A217">
        <v>1604</v>
      </c>
      <c r="B217" t="s">
        <v>27</v>
      </c>
      <c r="C217" t="s">
        <v>50</v>
      </c>
      <c r="D217" t="s">
        <v>43</v>
      </c>
      <c r="E217" s="1" t="s">
        <v>322</v>
      </c>
      <c r="F217">
        <f>VLOOKUP(Tabela14[[#This Row],[ID_COD]],Tabela2[],6,0)</f>
        <v>0</v>
      </c>
      <c r="G217" t="s">
        <v>98</v>
      </c>
      <c r="H217" s="2">
        <v>12.58</v>
      </c>
    </row>
    <row r="218" spans="1:8" x14ac:dyDescent="0.25">
      <c r="B218" t="s">
        <v>27</v>
      </c>
      <c r="C218" t="s">
        <v>51</v>
      </c>
      <c r="D218" t="s">
        <v>43</v>
      </c>
      <c r="E218" s="1" t="s">
        <v>322</v>
      </c>
      <c r="F218" t="e">
        <f>VLOOKUP(Tabela14[[#This Row],[ID_COD]],Tabela2[],6,0)</f>
        <v>#N/A</v>
      </c>
      <c r="H218" s="2" t="e">
        <v>#N/A</v>
      </c>
    </row>
    <row r="219" spans="1:8" x14ac:dyDescent="0.25">
      <c r="A219">
        <v>1605</v>
      </c>
      <c r="B219" t="s">
        <v>27</v>
      </c>
      <c r="C219" t="s">
        <v>52</v>
      </c>
      <c r="D219" t="s">
        <v>43</v>
      </c>
      <c r="E219" s="1" t="s">
        <v>322</v>
      </c>
      <c r="F219">
        <f>VLOOKUP(Tabela14[[#This Row],[ID_COD]],Tabela2[],6,0)</f>
        <v>0</v>
      </c>
      <c r="G219" t="s">
        <v>72</v>
      </c>
      <c r="H219" s="2">
        <v>6.41</v>
      </c>
    </row>
    <row r="220" spans="1:8" x14ac:dyDescent="0.25">
      <c r="A220">
        <v>1606</v>
      </c>
      <c r="B220" t="s">
        <v>27</v>
      </c>
      <c r="C220" t="s">
        <v>53</v>
      </c>
      <c r="D220" t="s">
        <v>43</v>
      </c>
      <c r="E220" s="1" t="s">
        <v>322</v>
      </c>
      <c r="F220">
        <f>VLOOKUP(Tabela14[[#This Row],[ID_COD]],Tabela2[],6,0)</f>
        <v>0</v>
      </c>
      <c r="G220" t="s">
        <v>78</v>
      </c>
      <c r="H220" s="2">
        <v>7.92</v>
      </c>
    </row>
    <row r="221" spans="1:8" x14ac:dyDescent="0.25">
      <c r="A221">
        <v>1608</v>
      </c>
      <c r="B221" t="s">
        <v>27</v>
      </c>
      <c r="C221" t="s">
        <v>54</v>
      </c>
      <c r="D221" t="s">
        <v>43</v>
      </c>
      <c r="E221" s="1" t="s">
        <v>322</v>
      </c>
      <c r="F221">
        <f>VLOOKUP(Tabela14[[#This Row],[ID_COD]],Tabela2[],6,0)</f>
        <v>0</v>
      </c>
      <c r="G221" t="s">
        <v>85</v>
      </c>
      <c r="H221" s="2">
        <v>9.3699999999999992</v>
      </c>
    </row>
    <row r="222" spans="1:8" x14ac:dyDescent="0.25">
      <c r="A222">
        <v>1609</v>
      </c>
      <c r="B222" t="s">
        <v>27</v>
      </c>
      <c r="C222" t="s">
        <v>55</v>
      </c>
      <c r="D222" t="s">
        <v>43</v>
      </c>
      <c r="E222" s="1" t="s">
        <v>322</v>
      </c>
      <c r="F222">
        <f>VLOOKUP(Tabela14[[#This Row],[ID_COD]],Tabela2[],6,0)</f>
        <v>0</v>
      </c>
      <c r="G222" t="s">
        <v>93</v>
      </c>
      <c r="H222" s="2">
        <v>12.03</v>
      </c>
    </row>
    <row r="223" spans="1:8" x14ac:dyDescent="0.25">
      <c r="B223" t="s">
        <v>27</v>
      </c>
      <c r="C223" t="s">
        <v>56</v>
      </c>
      <c r="D223" t="s">
        <v>43</v>
      </c>
      <c r="E223" s="1" t="s">
        <v>322</v>
      </c>
      <c r="F223" t="e">
        <f>VLOOKUP(Tabela14[[#This Row],[ID_COD]],Tabela2[],6,0)</f>
        <v>#N/A</v>
      </c>
      <c r="H223" s="2" t="e">
        <v>#N/A</v>
      </c>
    </row>
    <row r="224" spans="1:8" x14ac:dyDescent="0.25">
      <c r="A224">
        <v>1610</v>
      </c>
      <c r="B224" t="s">
        <v>27</v>
      </c>
      <c r="C224" t="s">
        <v>57</v>
      </c>
      <c r="D224" t="s">
        <v>43</v>
      </c>
      <c r="E224" s="1" t="s">
        <v>322</v>
      </c>
      <c r="F224">
        <f>VLOOKUP(Tabela14[[#This Row],[ID_COD]],Tabela2[],6,0)</f>
        <v>0</v>
      </c>
      <c r="G224" t="s">
        <v>103</v>
      </c>
      <c r="H224" s="2">
        <v>17.34</v>
      </c>
    </row>
    <row r="225" spans="1:8" x14ac:dyDescent="0.25">
      <c r="B225" t="s">
        <v>27</v>
      </c>
      <c r="C225" t="s">
        <v>29</v>
      </c>
      <c r="D225" t="s">
        <v>58</v>
      </c>
      <c r="E225" s="1" t="s">
        <v>322</v>
      </c>
      <c r="F225" t="e">
        <f>VLOOKUP(Tabela14[[#This Row],[ID_COD]],Tabela2[],6,0)</f>
        <v>#N/A</v>
      </c>
      <c r="H225" s="2">
        <v>3.66</v>
      </c>
    </row>
    <row r="226" spans="1:8" x14ac:dyDescent="0.25">
      <c r="A226">
        <v>163</v>
      </c>
      <c r="B226" t="s">
        <v>27</v>
      </c>
      <c r="C226" t="s">
        <v>30</v>
      </c>
      <c r="D226" t="s">
        <v>58</v>
      </c>
      <c r="E226" s="1" t="s">
        <v>322</v>
      </c>
      <c r="F226">
        <f>VLOOKUP(Tabela14[[#This Row],[ID_COD]],Tabela2[],6,0)</f>
        <v>110</v>
      </c>
      <c r="G226" t="s">
        <v>111</v>
      </c>
      <c r="H226" s="2">
        <v>3.97</v>
      </c>
    </row>
    <row r="227" spans="1:8" x14ac:dyDescent="0.25">
      <c r="A227">
        <v>480</v>
      </c>
      <c r="B227" t="s">
        <v>27</v>
      </c>
      <c r="C227" t="s">
        <v>31</v>
      </c>
      <c r="D227" t="s">
        <v>58</v>
      </c>
      <c r="E227" s="1" t="s">
        <v>322</v>
      </c>
      <c r="F227">
        <f>VLOOKUP(Tabela14[[#This Row],[ID_COD]],Tabela2[],6,0)</f>
        <v>110</v>
      </c>
      <c r="G227" t="s">
        <v>126</v>
      </c>
      <c r="H227" s="2">
        <v>4.91</v>
      </c>
    </row>
    <row r="228" spans="1:8" x14ac:dyDescent="0.25">
      <c r="A228">
        <v>164</v>
      </c>
      <c r="B228" t="s">
        <v>27</v>
      </c>
      <c r="C228" t="s">
        <v>32</v>
      </c>
      <c r="D228" t="s">
        <v>58</v>
      </c>
      <c r="E228" s="1" t="s">
        <v>322</v>
      </c>
      <c r="F228">
        <f>VLOOKUP(Tabela14[[#This Row],[ID_COD]],Tabela2[],6,0)</f>
        <v>90</v>
      </c>
      <c r="G228" t="s">
        <v>137</v>
      </c>
      <c r="H228" s="2">
        <v>5.63</v>
      </c>
    </row>
    <row r="229" spans="1:8" x14ac:dyDescent="0.25">
      <c r="A229">
        <v>165</v>
      </c>
      <c r="B229" t="s">
        <v>27</v>
      </c>
      <c r="C229" t="s">
        <v>33</v>
      </c>
      <c r="D229" t="s">
        <v>58</v>
      </c>
      <c r="E229" s="1" t="s">
        <v>322</v>
      </c>
      <c r="F229">
        <f>VLOOKUP(Tabela14[[#This Row],[ID_COD]],Tabela2[],6,0)</f>
        <v>70</v>
      </c>
      <c r="G229" t="s">
        <v>149</v>
      </c>
      <c r="H229" s="2">
        <v>7.25</v>
      </c>
    </row>
    <row r="230" spans="1:8" x14ac:dyDescent="0.25">
      <c r="B230" t="s">
        <v>27</v>
      </c>
      <c r="C230" t="s">
        <v>34</v>
      </c>
      <c r="D230" t="s">
        <v>58</v>
      </c>
      <c r="E230" s="1" t="s">
        <v>322</v>
      </c>
      <c r="F230" t="e">
        <f>VLOOKUP(Tabela14[[#This Row],[ID_COD]],Tabela2[],6,0)</f>
        <v>#N/A</v>
      </c>
      <c r="H230" s="2" t="e">
        <v>#N/A</v>
      </c>
    </row>
    <row r="231" spans="1:8" x14ac:dyDescent="0.25">
      <c r="A231">
        <v>166</v>
      </c>
      <c r="B231" t="s">
        <v>27</v>
      </c>
      <c r="C231" t="s">
        <v>35</v>
      </c>
      <c r="D231" t="s">
        <v>58</v>
      </c>
      <c r="E231" s="1" t="s">
        <v>322</v>
      </c>
      <c r="F231">
        <f>VLOOKUP(Tabela14[[#This Row],[ID_COD]],Tabela2[],6,0)</f>
        <v>50</v>
      </c>
      <c r="G231" t="s">
        <v>157</v>
      </c>
      <c r="H231" s="2">
        <v>10.74</v>
      </c>
    </row>
    <row r="232" spans="1:8" x14ac:dyDescent="0.25">
      <c r="B232" t="s">
        <v>27</v>
      </c>
      <c r="C232" t="s">
        <v>36</v>
      </c>
      <c r="D232" t="s">
        <v>58</v>
      </c>
      <c r="E232" s="1" t="s">
        <v>322</v>
      </c>
      <c r="F232" t="e">
        <f>VLOOKUP(Tabela14[[#This Row],[ID_COD]],Tabela2[],6,0)</f>
        <v>#N/A</v>
      </c>
      <c r="H232" s="2" t="e">
        <v>#N/A</v>
      </c>
    </row>
    <row r="233" spans="1:8" x14ac:dyDescent="0.25">
      <c r="A233">
        <v>171</v>
      </c>
      <c r="B233" t="s">
        <v>27</v>
      </c>
      <c r="C233" t="s">
        <v>37</v>
      </c>
      <c r="D233" t="s">
        <v>58</v>
      </c>
      <c r="E233" s="1" t="s">
        <v>322</v>
      </c>
      <c r="F233">
        <f>VLOOKUP(Tabela14[[#This Row],[ID_COD]],Tabela2[],6,0)</f>
        <v>100</v>
      </c>
      <c r="G233" t="s">
        <v>117</v>
      </c>
      <c r="H233" s="2">
        <v>5.38</v>
      </c>
    </row>
    <row r="234" spans="1:8" x14ac:dyDescent="0.25">
      <c r="A234">
        <v>478</v>
      </c>
      <c r="B234" t="s">
        <v>27</v>
      </c>
      <c r="C234" t="s">
        <v>38</v>
      </c>
      <c r="D234" t="s">
        <v>58</v>
      </c>
      <c r="E234" s="1" t="s">
        <v>322</v>
      </c>
      <c r="F234">
        <f>VLOOKUP(Tabela14[[#This Row],[ID_COD]],Tabela2[],6,0)</f>
        <v>90</v>
      </c>
      <c r="G234" t="s">
        <v>132</v>
      </c>
      <c r="H234" s="2">
        <v>6.78</v>
      </c>
    </row>
    <row r="235" spans="1:8" x14ac:dyDescent="0.25">
      <c r="A235">
        <v>172</v>
      </c>
      <c r="B235" t="s">
        <v>27</v>
      </c>
      <c r="C235" t="s">
        <v>39</v>
      </c>
      <c r="D235" t="s">
        <v>58</v>
      </c>
      <c r="E235" s="1" t="s">
        <v>322</v>
      </c>
      <c r="F235">
        <f>VLOOKUP(Tabela14[[#This Row],[ID_COD]],Tabela2[],6,0)</f>
        <v>75</v>
      </c>
      <c r="G235" t="s">
        <v>145</v>
      </c>
      <c r="H235" s="2">
        <v>7.94</v>
      </c>
    </row>
    <row r="236" spans="1:8" x14ac:dyDescent="0.25">
      <c r="A236">
        <v>173</v>
      </c>
      <c r="B236" t="s">
        <v>27</v>
      </c>
      <c r="C236" t="s">
        <v>40</v>
      </c>
      <c r="D236" t="s">
        <v>58</v>
      </c>
      <c r="E236" s="1" t="s">
        <v>322</v>
      </c>
      <c r="F236">
        <f>VLOOKUP(Tabela14[[#This Row],[ID_COD]],Tabela2[],6,0)</f>
        <v>60</v>
      </c>
      <c r="G236" t="s">
        <v>155</v>
      </c>
      <c r="H236" s="2">
        <v>10.3</v>
      </c>
    </row>
    <row r="237" spans="1:8" x14ac:dyDescent="0.25">
      <c r="B237" t="s">
        <v>27</v>
      </c>
      <c r="C237" t="s">
        <v>41</v>
      </c>
      <c r="D237" t="s">
        <v>58</v>
      </c>
      <c r="E237" s="1" t="s">
        <v>322</v>
      </c>
      <c r="F237" t="e">
        <f>VLOOKUP(Tabela14[[#This Row],[ID_COD]],Tabela2[],6,0)</f>
        <v>#N/A</v>
      </c>
      <c r="H237" s="2" t="e">
        <v>#N/A</v>
      </c>
    </row>
    <row r="238" spans="1:8" x14ac:dyDescent="0.25">
      <c r="A238">
        <v>174</v>
      </c>
      <c r="B238" t="s">
        <v>27</v>
      </c>
      <c r="C238" t="s">
        <v>42</v>
      </c>
      <c r="D238" t="s">
        <v>58</v>
      </c>
      <c r="E238" s="1" t="s">
        <v>322</v>
      </c>
      <c r="F238">
        <f>VLOOKUP(Tabela14[[#This Row],[ID_COD]],Tabela2[],6,0)</f>
        <v>40</v>
      </c>
      <c r="G238" t="s">
        <v>165</v>
      </c>
      <c r="H238" s="2">
        <v>14.74</v>
      </c>
    </row>
    <row r="239" spans="1:8" x14ac:dyDescent="0.25">
      <c r="B239" t="s">
        <v>27</v>
      </c>
      <c r="C239" t="s">
        <v>44</v>
      </c>
      <c r="D239" t="s">
        <v>59</v>
      </c>
      <c r="E239" s="1" t="s">
        <v>322</v>
      </c>
      <c r="F239" t="e">
        <f>VLOOKUP(Tabela14[[#This Row],[ID_COD]],Tabela2[],6,0)</f>
        <v>#N/A</v>
      </c>
      <c r="H239" s="2">
        <v>4.2699999999999996</v>
      </c>
    </row>
    <row r="240" spans="1:8" x14ac:dyDescent="0.25">
      <c r="A240">
        <v>159</v>
      </c>
      <c r="B240" t="s">
        <v>27</v>
      </c>
      <c r="C240" t="s">
        <v>45</v>
      </c>
      <c r="D240" t="s">
        <v>59</v>
      </c>
      <c r="E240" s="1" t="s">
        <v>322</v>
      </c>
      <c r="F240">
        <f>VLOOKUP(Tabela14[[#This Row],[ID_COD]],Tabela2[],6,0)</f>
        <v>110</v>
      </c>
      <c r="G240" t="s">
        <v>112</v>
      </c>
      <c r="H240" s="2">
        <v>4.6399999999999997</v>
      </c>
    </row>
    <row r="241" spans="1:8" x14ac:dyDescent="0.25">
      <c r="A241">
        <v>481</v>
      </c>
      <c r="B241" t="s">
        <v>27</v>
      </c>
      <c r="C241" t="s">
        <v>46</v>
      </c>
      <c r="D241" t="s">
        <v>59</v>
      </c>
      <c r="E241" s="1" t="s">
        <v>322</v>
      </c>
      <c r="F241">
        <f>VLOOKUP(Tabela14[[#This Row],[ID_COD]],Tabela2[],6,0)</f>
        <v>110</v>
      </c>
      <c r="G241" t="s">
        <v>127</v>
      </c>
      <c r="H241" s="2">
        <v>5.74</v>
      </c>
    </row>
    <row r="242" spans="1:8" x14ac:dyDescent="0.25">
      <c r="A242">
        <v>160</v>
      </c>
      <c r="B242" t="s">
        <v>27</v>
      </c>
      <c r="C242" t="s">
        <v>47</v>
      </c>
      <c r="D242" t="s">
        <v>59</v>
      </c>
      <c r="E242" s="1" t="s">
        <v>322</v>
      </c>
      <c r="F242">
        <f>VLOOKUP(Tabela14[[#This Row],[ID_COD]],Tabela2[],6,0)</f>
        <v>80</v>
      </c>
      <c r="G242" t="s">
        <v>139</v>
      </c>
      <c r="H242" s="2">
        <v>6.57</v>
      </c>
    </row>
    <row r="243" spans="1:8" x14ac:dyDescent="0.25">
      <c r="A243">
        <v>161</v>
      </c>
      <c r="B243" t="s">
        <v>27</v>
      </c>
      <c r="C243" t="s">
        <v>48</v>
      </c>
      <c r="D243" t="s">
        <v>59</v>
      </c>
      <c r="E243" s="1" t="s">
        <v>322</v>
      </c>
      <c r="F243">
        <f>VLOOKUP(Tabela14[[#This Row],[ID_COD]],Tabela2[],6,0)</f>
        <v>70</v>
      </c>
      <c r="G243" t="s">
        <v>152</v>
      </c>
      <c r="H243" s="2">
        <v>8.4499999999999993</v>
      </c>
    </row>
    <row r="244" spans="1:8" x14ac:dyDescent="0.25">
      <c r="B244" t="s">
        <v>27</v>
      </c>
      <c r="C244" t="s">
        <v>49</v>
      </c>
      <c r="D244" t="s">
        <v>59</v>
      </c>
      <c r="E244" s="1" t="s">
        <v>322</v>
      </c>
      <c r="F244" t="e">
        <f>VLOOKUP(Tabela14[[#This Row],[ID_COD]],Tabela2[],6,0)</f>
        <v>#N/A</v>
      </c>
      <c r="H244" s="2" t="e">
        <v>#N/A</v>
      </c>
    </row>
    <row r="245" spans="1:8" x14ac:dyDescent="0.25">
      <c r="A245">
        <v>162</v>
      </c>
      <c r="B245" t="s">
        <v>27</v>
      </c>
      <c r="C245" t="s">
        <v>50</v>
      </c>
      <c r="D245" t="s">
        <v>59</v>
      </c>
      <c r="E245" s="1" t="s">
        <v>322</v>
      </c>
      <c r="F245">
        <f>VLOOKUP(Tabela14[[#This Row],[ID_COD]],Tabela2[],6,0)</f>
        <v>45</v>
      </c>
      <c r="G245" t="s">
        <v>160</v>
      </c>
      <c r="H245" s="2">
        <v>12.58</v>
      </c>
    </row>
    <row r="246" spans="1:8" x14ac:dyDescent="0.25">
      <c r="B246" t="s">
        <v>27</v>
      </c>
      <c r="C246" t="s">
        <v>51</v>
      </c>
      <c r="D246" t="s">
        <v>59</v>
      </c>
      <c r="E246" s="1" t="s">
        <v>322</v>
      </c>
      <c r="F246" t="e">
        <f>VLOOKUP(Tabela14[[#This Row],[ID_COD]],Tabela2[],6,0)</f>
        <v>#N/A</v>
      </c>
      <c r="H246" s="2" t="e">
        <v>#N/A</v>
      </c>
    </row>
    <row r="247" spans="1:8" x14ac:dyDescent="0.25">
      <c r="A247">
        <v>167</v>
      </c>
      <c r="B247" t="s">
        <v>27</v>
      </c>
      <c r="C247" t="s">
        <v>52</v>
      </c>
      <c r="D247" t="s">
        <v>59</v>
      </c>
      <c r="E247" s="1" t="s">
        <v>322</v>
      </c>
      <c r="F247">
        <f>VLOOKUP(Tabela14[[#This Row],[ID_COD]],Tabela2[],6,0)</f>
        <v>90</v>
      </c>
      <c r="G247" t="s">
        <v>121</v>
      </c>
      <c r="H247" s="2">
        <v>6.41</v>
      </c>
    </row>
    <row r="248" spans="1:8" x14ac:dyDescent="0.25">
      <c r="A248">
        <v>479</v>
      </c>
      <c r="B248" t="s">
        <v>27</v>
      </c>
      <c r="C248" t="s">
        <v>53</v>
      </c>
      <c r="D248" t="s">
        <v>59</v>
      </c>
      <c r="E248" s="1" t="s">
        <v>322</v>
      </c>
      <c r="F248">
        <f>VLOOKUP(Tabela14[[#This Row],[ID_COD]],Tabela2[],6,0)</f>
        <v>80</v>
      </c>
      <c r="G248" t="s">
        <v>133</v>
      </c>
      <c r="H248" s="2">
        <v>7.92</v>
      </c>
    </row>
    <row r="249" spans="1:8" x14ac:dyDescent="0.25">
      <c r="A249">
        <v>168</v>
      </c>
      <c r="B249" t="s">
        <v>27</v>
      </c>
      <c r="C249" t="s">
        <v>54</v>
      </c>
      <c r="D249" t="s">
        <v>59</v>
      </c>
      <c r="E249" s="1" t="s">
        <v>322</v>
      </c>
      <c r="F249">
        <f>VLOOKUP(Tabela14[[#This Row],[ID_COD]],Tabela2[],6,0)</f>
        <v>70</v>
      </c>
      <c r="G249" t="s">
        <v>172</v>
      </c>
      <c r="H249" s="2">
        <v>9.3699999999999992</v>
      </c>
    </row>
    <row r="250" spans="1:8" x14ac:dyDescent="0.25">
      <c r="A250">
        <v>169</v>
      </c>
      <c r="B250" t="s">
        <v>27</v>
      </c>
      <c r="C250" t="s">
        <v>55</v>
      </c>
      <c r="D250" t="s">
        <v>59</v>
      </c>
      <c r="E250" s="1" t="s">
        <v>322</v>
      </c>
      <c r="F250">
        <f>VLOOKUP(Tabela14[[#This Row],[ID_COD]],Tabela2[],6,0)</f>
        <v>60</v>
      </c>
      <c r="G250" t="s">
        <v>173</v>
      </c>
      <c r="H250" s="2">
        <v>12.03</v>
      </c>
    </row>
    <row r="251" spans="1:8" x14ac:dyDescent="0.25">
      <c r="B251" t="s">
        <v>27</v>
      </c>
      <c r="C251" t="s">
        <v>56</v>
      </c>
      <c r="D251" t="s">
        <v>59</v>
      </c>
      <c r="E251" s="1" t="s">
        <v>322</v>
      </c>
      <c r="F251" t="e">
        <f>VLOOKUP(Tabela14[[#This Row],[ID_COD]],Tabela2[],6,0)</f>
        <v>#N/A</v>
      </c>
      <c r="H251" s="2" t="e">
        <v>#N/A</v>
      </c>
    </row>
    <row r="252" spans="1:8" x14ac:dyDescent="0.25">
      <c r="A252">
        <v>170</v>
      </c>
      <c r="B252" t="s">
        <v>27</v>
      </c>
      <c r="C252" t="s">
        <v>57</v>
      </c>
      <c r="D252" t="s">
        <v>59</v>
      </c>
      <c r="E252" s="1" t="s">
        <v>322</v>
      </c>
      <c r="F252">
        <f>VLOOKUP(Tabela14[[#This Row],[ID_COD]],Tabela2[],6,0)</f>
        <v>35</v>
      </c>
      <c r="G252" t="s">
        <v>167</v>
      </c>
      <c r="H252" s="2">
        <v>17.34</v>
      </c>
    </row>
    <row r="253" spans="1:8" x14ac:dyDescent="0.25">
      <c r="B253" t="s">
        <v>27</v>
      </c>
      <c r="C253" t="s">
        <v>29</v>
      </c>
      <c r="D253" t="s">
        <v>60</v>
      </c>
      <c r="E253" s="1" t="s">
        <v>322</v>
      </c>
      <c r="F253" t="e">
        <f>VLOOKUP(Tabela14[[#This Row],[ID_COD]],Tabela2[],6,0)</f>
        <v>#N/A</v>
      </c>
      <c r="H253" s="2">
        <v>3.66</v>
      </c>
    </row>
    <row r="254" spans="1:8" x14ac:dyDescent="0.25">
      <c r="A254">
        <v>1646</v>
      </c>
      <c r="B254" t="s">
        <v>27</v>
      </c>
      <c r="C254" t="s">
        <v>30</v>
      </c>
      <c r="D254" t="s">
        <v>60</v>
      </c>
      <c r="E254" s="1" t="s">
        <v>322</v>
      </c>
      <c r="F254">
        <f>VLOOKUP(Tabela14[[#This Row],[ID_COD]],Tabela2[],6,0)</f>
        <v>0</v>
      </c>
      <c r="G254" t="s">
        <v>110</v>
      </c>
      <c r="H254" s="2">
        <v>3.97</v>
      </c>
    </row>
    <row r="255" spans="1:8" x14ac:dyDescent="0.25">
      <c r="A255">
        <v>1647</v>
      </c>
      <c r="B255" t="s">
        <v>27</v>
      </c>
      <c r="C255" t="s">
        <v>31</v>
      </c>
      <c r="D255" t="s">
        <v>60</v>
      </c>
      <c r="E255" s="1" t="s">
        <v>322</v>
      </c>
      <c r="F255">
        <f>VLOOKUP(Tabela14[[#This Row],[ID_COD]],Tabela2[],6,0)</f>
        <v>0</v>
      </c>
      <c r="G255" t="s">
        <v>73</v>
      </c>
      <c r="H255" s="2">
        <v>4.91</v>
      </c>
    </row>
    <row r="256" spans="1:8" x14ac:dyDescent="0.25">
      <c r="A256">
        <v>1648</v>
      </c>
      <c r="B256" t="s">
        <v>27</v>
      </c>
      <c r="C256" t="s">
        <v>32</v>
      </c>
      <c r="D256" t="s">
        <v>60</v>
      </c>
      <c r="E256" s="1" t="s">
        <v>322</v>
      </c>
      <c r="F256">
        <f>VLOOKUP(Tabela14[[#This Row],[ID_COD]],Tabela2[],6,0)</f>
        <v>0</v>
      </c>
      <c r="G256" t="s">
        <v>80</v>
      </c>
      <c r="H256" s="2">
        <v>5.63</v>
      </c>
    </row>
    <row r="257" spans="1:8" x14ac:dyDescent="0.25">
      <c r="A257">
        <v>1649</v>
      </c>
      <c r="B257" t="s">
        <v>27</v>
      </c>
      <c r="C257" t="s">
        <v>33</v>
      </c>
      <c r="D257" t="s">
        <v>60</v>
      </c>
      <c r="E257" s="1" t="s">
        <v>322</v>
      </c>
      <c r="F257">
        <f>VLOOKUP(Tabela14[[#This Row],[ID_COD]],Tabela2[],6,0)</f>
        <v>0</v>
      </c>
      <c r="G257" t="s">
        <v>148</v>
      </c>
      <c r="H257" s="2">
        <v>7.25</v>
      </c>
    </row>
    <row r="258" spans="1:8" x14ac:dyDescent="0.25">
      <c r="B258" t="s">
        <v>27</v>
      </c>
      <c r="C258" t="s">
        <v>34</v>
      </c>
      <c r="D258" t="s">
        <v>60</v>
      </c>
      <c r="E258" s="1" t="s">
        <v>322</v>
      </c>
      <c r="F258" t="e">
        <f>VLOOKUP(Tabela14[[#This Row],[ID_COD]],Tabela2[],6,0)</f>
        <v>#N/A</v>
      </c>
      <c r="H258" s="2" t="e">
        <v>#N/A</v>
      </c>
    </row>
    <row r="259" spans="1:8" x14ac:dyDescent="0.25">
      <c r="A259">
        <v>1650</v>
      </c>
      <c r="B259" t="s">
        <v>27</v>
      </c>
      <c r="C259" t="s">
        <v>35</v>
      </c>
      <c r="D259" t="s">
        <v>60</v>
      </c>
      <c r="E259" s="1" t="s">
        <v>322</v>
      </c>
      <c r="F259">
        <f>VLOOKUP(Tabela14[[#This Row],[ID_COD]],Tabela2[],6,0)</f>
        <v>0</v>
      </c>
      <c r="G259" t="s">
        <v>96</v>
      </c>
      <c r="H259" s="2">
        <v>10.74</v>
      </c>
    </row>
    <row r="260" spans="1:8" x14ac:dyDescent="0.25">
      <c r="B260" t="s">
        <v>27</v>
      </c>
      <c r="C260" t="s">
        <v>36</v>
      </c>
      <c r="D260" t="s">
        <v>60</v>
      </c>
      <c r="E260" s="1" t="s">
        <v>322</v>
      </c>
      <c r="F260" t="e">
        <f>VLOOKUP(Tabela14[[#This Row],[ID_COD]],Tabela2[],6,0)</f>
        <v>#N/A</v>
      </c>
      <c r="H260" s="2" t="e">
        <v>#N/A</v>
      </c>
    </row>
    <row r="261" spans="1:8" x14ac:dyDescent="0.25">
      <c r="A261">
        <v>1651</v>
      </c>
      <c r="B261" t="s">
        <v>27</v>
      </c>
      <c r="C261" t="s">
        <v>37</v>
      </c>
      <c r="D261" t="s">
        <v>60</v>
      </c>
      <c r="E261" s="1" t="s">
        <v>322</v>
      </c>
      <c r="F261">
        <f>VLOOKUP(Tabela14[[#This Row],[ID_COD]],Tabela2[],6,0)</f>
        <v>0</v>
      </c>
      <c r="G261" t="s">
        <v>71</v>
      </c>
      <c r="H261" s="2">
        <v>5.38</v>
      </c>
    </row>
    <row r="262" spans="1:8" x14ac:dyDescent="0.25">
      <c r="A262">
        <v>1652</v>
      </c>
      <c r="B262" t="s">
        <v>27</v>
      </c>
      <c r="C262" t="s">
        <v>38</v>
      </c>
      <c r="D262" t="s">
        <v>60</v>
      </c>
      <c r="E262" s="1" t="s">
        <v>322</v>
      </c>
      <c r="F262">
        <f>VLOOKUP(Tabela14[[#This Row],[ID_COD]],Tabela2[],6,0)</f>
        <v>0</v>
      </c>
      <c r="G262" t="s">
        <v>129</v>
      </c>
      <c r="H262" s="2">
        <v>6.78</v>
      </c>
    </row>
    <row r="263" spans="1:8" x14ac:dyDescent="0.25">
      <c r="A263">
        <v>1653</v>
      </c>
      <c r="B263" t="s">
        <v>27</v>
      </c>
      <c r="C263" t="s">
        <v>39</v>
      </c>
      <c r="D263" t="s">
        <v>60</v>
      </c>
      <c r="E263" s="1" t="s">
        <v>322</v>
      </c>
      <c r="F263">
        <f>VLOOKUP(Tabela14[[#This Row],[ID_COD]],Tabela2[],6,0)</f>
        <v>0</v>
      </c>
      <c r="G263" t="s">
        <v>143</v>
      </c>
      <c r="H263" s="2">
        <v>7.94</v>
      </c>
    </row>
    <row r="264" spans="1:8" x14ac:dyDescent="0.25">
      <c r="A264">
        <v>1654</v>
      </c>
      <c r="B264" t="s">
        <v>27</v>
      </c>
      <c r="C264" t="s">
        <v>40</v>
      </c>
      <c r="D264" t="s">
        <v>60</v>
      </c>
      <c r="E264" s="1" t="s">
        <v>322</v>
      </c>
      <c r="F264">
        <f>VLOOKUP(Tabela14[[#This Row],[ID_COD]],Tabela2[],6,0)</f>
        <v>0</v>
      </c>
      <c r="G264" t="s">
        <v>91</v>
      </c>
      <c r="H264" s="2">
        <v>10.3</v>
      </c>
    </row>
    <row r="265" spans="1:8" x14ac:dyDescent="0.25">
      <c r="B265" t="s">
        <v>27</v>
      </c>
      <c r="C265" t="s">
        <v>41</v>
      </c>
      <c r="D265" t="s">
        <v>60</v>
      </c>
      <c r="E265" s="1" t="s">
        <v>322</v>
      </c>
      <c r="F265" t="e">
        <f>VLOOKUP(Tabela14[[#This Row],[ID_COD]],Tabela2[],6,0)</f>
        <v>#N/A</v>
      </c>
      <c r="H265" s="2" t="e">
        <v>#N/A</v>
      </c>
    </row>
    <row r="266" spans="1:8" x14ac:dyDescent="0.25">
      <c r="A266">
        <v>1655</v>
      </c>
      <c r="B266" t="s">
        <v>27</v>
      </c>
      <c r="C266" t="s">
        <v>42</v>
      </c>
      <c r="D266" t="s">
        <v>60</v>
      </c>
      <c r="E266" s="1" t="s">
        <v>322</v>
      </c>
      <c r="F266">
        <f>VLOOKUP(Tabela14[[#This Row],[ID_COD]],Tabela2[],6,0)</f>
        <v>0</v>
      </c>
      <c r="G266" t="s">
        <v>101</v>
      </c>
      <c r="H266" s="2">
        <v>14.74</v>
      </c>
    </row>
    <row r="267" spans="1:8" x14ac:dyDescent="0.25">
      <c r="A267">
        <v>1787</v>
      </c>
      <c r="B267" t="s">
        <v>27</v>
      </c>
      <c r="C267" t="s">
        <v>44</v>
      </c>
      <c r="D267" t="s">
        <v>61</v>
      </c>
      <c r="E267" s="1" t="s">
        <v>322</v>
      </c>
      <c r="F267">
        <f>VLOOKUP(Tabela14[[#This Row],[ID_COD]],Tabela2[],6,0)</f>
        <v>0</v>
      </c>
      <c r="G267" t="s">
        <v>170</v>
      </c>
      <c r="H267" s="2">
        <v>4.6100000000000003</v>
      </c>
    </row>
    <row r="268" spans="1:8" x14ac:dyDescent="0.25">
      <c r="A268">
        <v>1656</v>
      </c>
      <c r="B268" t="s">
        <v>27</v>
      </c>
      <c r="C268" t="s">
        <v>45</v>
      </c>
      <c r="D268" t="s">
        <v>61</v>
      </c>
      <c r="E268" s="1" t="s">
        <v>322</v>
      </c>
      <c r="F268">
        <f>VLOOKUP(Tabela14[[#This Row],[ID_COD]],Tabela2[],6,0)</f>
        <v>110</v>
      </c>
      <c r="G268" t="s">
        <v>69</v>
      </c>
      <c r="H268" s="2">
        <v>5.01</v>
      </c>
    </row>
    <row r="269" spans="1:8" x14ac:dyDescent="0.25">
      <c r="A269">
        <v>1657</v>
      </c>
      <c r="B269" t="s">
        <v>27</v>
      </c>
      <c r="C269" t="s">
        <v>46</v>
      </c>
      <c r="D269" t="s">
        <v>61</v>
      </c>
      <c r="E269" s="1" t="s">
        <v>322</v>
      </c>
      <c r="F269">
        <f>VLOOKUP(Tabela14[[#This Row],[ID_COD]],Tabela2[],6,0)</f>
        <v>110</v>
      </c>
      <c r="G269" t="s">
        <v>73</v>
      </c>
      <c r="H269" s="2">
        <v>6.2</v>
      </c>
    </row>
    <row r="270" spans="1:8" x14ac:dyDescent="0.25">
      <c r="A270">
        <v>1658</v>
      </c>
      <c r="B270" t="s">
        <v>27</v>
      </c>
      <c r="C270" t="s">
        <v>47</v>
      </c>
      <c r="D270" t="s">
        <v>61</v>
      </c>
      <c r="E270" s="1" t="s">
        <v>322</v>
      </c>
      <c r="F270">
        <f>VLOOKUP(Tabela14[[#This Row],[ID_COD]],Tabela2[],6,0)</f>
        <v>80</v>
      </c>
      <c r="G270" t="s">
        <v>80</v>
      </c>
      <c r="H270" s="2">
        <v>7.1</v>
      </c>
    </row>
    <row r="271" spans="1:8" x14ac:dyDescent="0.25">
      <c r="A271">
        <v>1659</v>
      </c>
      <c r="B271" t="s">
        <v>27</v>
      </c>
      <c r="C271" t="s">
        <v>48</v>
      </c>
      <c r="D271" t="s">
        <v>61</v>
      </c>
      <c r="E271" s="1" t="s">
        <v>322</v>
      </c>
      <c r="F271">
        <f>VLOOKUP(Tabela14[[#This Row],[ID_COD]],Tabela2[],6,0)</f>
        <v>70</v>
      </c>
      <c r="G271" t="s">
        <v>87</v>
      </c>
      <c r="H271" s="2">
        <v>9.1300000000000008</v>
      </c>
    </row>
    <row r="272" spans="1:8" x14ac:dyDescent="0.25">
      <c r="B272" t="s">
        <v>27</v>
      </c>
      <c r="C272" t="s">
        <v>49</v>
      </c>
      <c r="D272" t="s">
        <v>61</v>
      </c>
      <c r="E272" s="1" t="s">
        <v>322</v>
      </c>
      <c r="F272" t="e">
        <f>VLOOKUP(Tabela14[[#This Row],[ID_COD]],Tabela2[],6,0)</f>
        <v>#N/A</v>
      </c>
      <c r="H272" s="2" t="e">
        <v>#N/A</v>
      </c>
    </row>
    <row r="273" spans="1:8" x14ac:dyDescent="0.25">
      <c r="A273">
        <v>1660</v>
      </c>
      <c r="B273" t="s">
        <v>27</v>
      </c>
      <c r="C273" t="s">
        <v>50</v>
      </c>
      <c r="D273" t="s">
        <v>61</v>
      </c>
      <c r="E273" s="1" t="s">
        <v>322</v>
      </c>
      <c r="F273">
        <f>VLOOKUP(Tabela14[[#This Row],[ID_COD]],Tabela2[],6,0)</f>
        <v>45</v>
      </c>
      <c r="G273" t="s">
        <v>96</v>
      </c>
      <c r="H273" s="2">
        <v>13.59</v>
      </c>
    </row>
    <row r="274" spans="1:8" x14ac:dyDescent="0.25">
      <c r="B274" t="s">
        <v>27</v>
      </c>
      <c r="C274" t="s">
        <v>51</v>
      </c>
      <c r="D274" t="s">
        <v>61</v>
      </c>
      <c r="E274" s="1" t="s">
        <v>322</v>
      </c>
      <c r="F274" t="e">
        <f>VLOOKUP(Tabela14[[#This Row],[ID_COD]],Tabela2[],6,0)</f>
        <v>#N/A</v>
      </c>
      <c r="H274" s="2" t="e">
        <v>#N/A</v>
      </c>
    </row>
    <row r="275" spans="1:8" x14ac:dyDescent="0.25">
      <c r="A275">
        <v>1661</v>
      </c>
      <c r="B275" t="s">
        <v>27</v>
      </c>
      <c r="C275" t="s">
        <v>52</v>
      </c>
      <c r="D275" t="s">
        <v>61</v>
      </c>
      <c r="E275" s="1" t="s">
        <v>322</v>
      </c>
      <c r="F275">
        <f>VLOOKUP(Tabela14[[#This Row],[ID_COD]],Tabela2[],6,0)</f>
        <v>90</v>
      </c>
      <c r="G275" t="s">
        <v>116</v>
      </c>
      <c r="H275" s="2">
        <v>6.41</v>
      </c>
    </row>
    <row r="276" spans="1:8" x14ac:dyDescent="0.25">
      <c r="A276">
        <v>1662</v>
      </c>
      <c r="B276" t="s">
        <v>27</v>
      </c>
      <c r="C276" t="s">
        <v>53</v>
      </c>
      <c r="D276" t="s">
        <v>61</v>
      </c>
      <c r="E276" s="1" t="s">
        <v>322</v>
      </c>
      <c r="F276">
        <f>VLOOKUP(Tabela14[[#This Row],[ID_COD]],Tabela2[],6,0)</f>
        <v>80</v>
      </c>
      <c r="G276" t="s">
        <v>77</v>
      </c>
      <c r="H276" s="2">
        <v>7.92</v>
      </c>
    </row>
    <row r="277" spans="1:8" x14ac:dyDescent="0.25">
      <c r="A277">
        <v>1663</v>
      </c>
      <c r="B277" t="s">
        <v>27</v>
      </c>
      <c r="C277" t="s">
        <v>54</v>
      </c>
      <c r="D277" t="s">
        <v>61</v>
      </c>
      <c r="E277" s="1" t="s">
        <v>322</v>
      </c>
      <c r="F277">
        <f>VLOOKUP(Tabela14[[#This Row],[ID_COD]],Tabela2[],6,0)</f>
        <v>70</v>
      </c>
      <c r="G277" t="s">
        <v>104</v>
      </c>
      <c r="H277" s="2">
        <v>9.3699999999999992</v>
      </c>
    </row>
    <row r="278" spans="1:8" x14ac:dyDescent="0.25">
      <c r="A278">
        <v>1664</v>
      </c>
      <c r="B278" t="s">
        <v>27</v>
      </c>
      <c r="C278" t="s">
        <v>55</v>
      </c>
      <c r="D278" t="s">
        <v>61</v>
      </c>
      <c r="E278" s="1" t="s">
        <v>322</v>
      </c>
      <c r="F278">
        <f>VLOOKUP(Tabela14[[#This Row],[ID_COD]],Tabela2[],6,0)</f>
        <v>60</v>
      </c>
      <c r="G278" t="s">
        <v>105</v>
      </c>
      <c r="H278" s="2">
        <v>12.03</v>
      </c>
    </row>
    <row r="279" spans="1:8" x14ac:dyDescent="0.25">
      <c r="B279" t="s">
        <v>27</v>
      </c>
      <c r="C279" t="s">
        <v>56</v>
      </c>
      <c r="D279" t="s">
        <v>61</v>
      </c>
      <c r="E279" s="1" t="s">
        <v>322</v>
      </c>
      <c r="F279" t="e">
        <f>VLOOKUP(Tabela14[[#This Row],[ID_COD]],Tabela2[],6,0)</f>
        <v>#N/A</v>
      </c>
      <c r="H279" s="2" t="e">
        <v>#N/A</v>
      </c>
    </row>
    <row r="280" spans="1:8" x14ac:dyDescent="0.25">
      <c r="A280">
        <v>1665</v>
      </c>
      <c r="B280" t="s">
        <v>27</v>
      </c>
      <c r="C280" t="s">
        <v>57</v>
      </c>
      <c r="D280" t="s">
        <v>61</v>
      </c>
      <c r="E280" s="1" t="s">
        <v>322</v>
      </c>
      <c r="F280">
        <f>VLOOKUP(Tabela14[[#This Row],[ID_COD]],Tabela2[],6,0)</f>
        <v>35</v>
      </c>
      <c r="G280" t="s">
        <v>161</v>
      </c>
      <c r="H280" s="2">
        <v>17.34</v>
      </c>
    </row>
    <row r="281" spans="1:8" x14ac:dyDescent="0.25">
      <c r="B281" t="s">
        <v>62</v>
      </c>
      <c r="C281" t="s">
        <v>29</v>
      </c>
      <c r="D281" t="s">
        <v>28</v>
      </c>
      <c r="E281" s="1" t="s">
        <v>322</v>
      </c>
      <c r="F281" t="e">
        <f>VLOOKUP(Tabela14[[#This Row],[ID_COD]],Tabela2[],6,0)</f>
        <v>#N/A</v>
      </c>
      <c r="H281" s="2" t="e">
        <v>#N/A</v>
      </c>
    </row>
    <row r="282" spans="1:8" x14ac:dyDescent="0.25">
      <c r="A282">
        <v>1616</v>
      </c>
      <c r="B282" t="s">
        <v>62</v>
      </c>
      <c r="C282" t="s">
        <v>30</v>
      </c>
      <c r="D282" t="s">
        <v>28</v>
      </c>
      <c r="E282" s="1" t="s">
        <v>322</v>
      </c>
      <c r="F282">
        <f>VLOOKUP(Tabela14[[#This Row],[ID_COD]],Tabela2[],6,0)</f>
        <v>0</v>
      </c>
      <c r="G282" t="s">
        <v>70</v>
      </c>
      <c r="H282" s="2">
        <v>4.16</v>
      </c>
    </row>
    <row r="283" spans="1:8" x14ac:dyDescent="0.25">
      <c r="A283">
        <v>1617</v>
      </c>
      <c r="B283" t="s">
        <v>62</v>
      </c>
      <c r="C283" t="s">
        <v>31</v>
      </c>
      <c r="D283" t="s">
        <v>28</v>
      </c>
      <c r="E283" s="1" t="s">
        <v>322</v>
      </c>
      <c r="F283">
        <f>VLOOKUP(Tabela14[[#This Row],[ID_COD]],Tabela2[],6,0)</f>
        <v>0</v>
      </c>
      <c r="G283" t="s">
        <v>75</v>
      </c>
      <c r="H283" s="2">
        <v>5.14</v>
      </c>
    </row>
    <row r="284" spans="1:8" x14ac:dyDescent="0.25">
      <c r="A284">
        <v>1618</v>
      </c>
      <c r="B284" t="s">
        <v>62</v>
      </c>
      <c r="C284" t="s">
        <v>32</v>
      </c>
      <c r="D284" t="s">
        <v>28</v>
      </c>
      <c r="E284" s="1" t="s">
        <v>322</v>
      </c>
      <c r="F284">
        <f>VLOOKUP(Tabela14[[#This Row],[ID_COD]],Tabela2[],6,0)</f>
        <v>0</v>
      </c>
      <c r="G284" t="s">
        <v>140</v>
      </c>
      <c r="H284" s="2">
        <v>5.91</v>
      </c>
    </row>
    <row r="285" spans="1:8" x14ac:dyDescent="0.25">
      <c r="A285">
        <v>1619</v>
      </c>
      <c r="B285" t="s">
        <v>62</v>
      </c>
      <c r="C285" t="s">
        <v>33</v>
      </c>
      <c r="D285" t="s">
        <v>28</v>
      </c>
      <c r="E285" s="1" t="s">
        <v>322</v>
      </c>
      <c r="F285">
        <f>VLOOKUP(Tabela14[[#This Row],[ID_COD]],Tabela2[],6,0)</f>
        <v>0</v>
      </c>
      <c r="G285" t="s">
        <v>153</v>
      </c>
      <c r="H285" s="2">
        <v>7.59</v>
      </c>
    </row>
    <row r="286" spans="1:8" x14ac:dyDescent="0.25">
      <c r="B286" t="s">
        <v>62</v>
      </c>
      <c r="C286" t="s">
        <v>34</v>
      </c>
      <c r="D286" t="s">
        <v>28</v>
      </c>
      <c r="E286" s="1" t="s">
        <v>322</v>
      </c>
      <c r="F286" t="e">
        <f>VLOOKUP(Tabela14[[#This Row],[ID_COD]],Tabela2[],6,0)</f>
        <v>#N/A</v>
      </c>
      <c r="H286" s="2" t="e">
        <v>#N/A</v>
      </c>
    </row>
    <row r="287" spans="1:8" x14ac:dyDescent="0.25">
      <c r="A287">
        <v>1620</v>
      </c>
      <c r="B287" t="s">
        <v>62</v>
      </c>
      <c r="C287" t="s">
        <v>35</v>
      </c>
      <c r="D287" t="s">
        <v>28</v>
      </c>
      <c r="E287" s="1" t="s">
        <v>322</v>
      </c>
      <c r="F287">
        <f>VLOOKUP(Tabela14[[#This Row],[ID_COD]],Tabela2[],6,0)</f>
        <v>0</v>
      </c>
      <c r="G287" t="s">
        <v>99</v>
      </c>
      <c r="H287" s="2">
        <v>11.25</v>
      </c>
    </row>
    <row r="288" spans="1:8" x14ac:dyDescent="0.25">
      <c r="B288" t="s">
        <v>62</v>
      </c>
      <c r="C288" t="s">
        <v>36</v>
      </c>
      <c r="D288" t="s">
        <v>28</v>
      </c>
      <c r="E288" s="1" t="s">
        <v>322</v>
      </c>
      <c r="F288" t="e">
        <f>VLOOKUP(Tabela14[[#This Row],[ID_COD]],Tabela2[],6,0)</f>
        <v>#N/A</v>
      </c>
      <c r="H288" s="2" t="e">
        <v>#N/A</v>
      </c>
    </row>
    <row r="289" spans="1:8" x14ac:dyDescent="0.25">
      <c r="A289">
        <v>1611</v>
      </c>
      <c r="B289" t="s">
        <v>62</v>
      </c>
      <c r="C289" t="s">
        <v>37</v>
      </c>
      <c r="D289" t="s">
        <v>28</v>
      </c>
      <c r="E289" s="1" t="s">
        <v>322</v>
      </c>
      <c r="F289">
        <f>VLOOKUP(Tabela14[[#This Row],[ID_COD]],Tabela2[],6,0)</f>
        <v>0</v>
      </c>
      <c r="G289" t="s">
        <v>122</v>
      </c>
      <c r="H289" s="2">
        <v>5.63</v>
      </c>
    </row>
    <row r="290" spans="1:8" x14ac:dyDescent="0.25">
      <c r="A290">
        <v>1612</v>
      </c>
      <c r="B290" t="s">
        <v>62</v>
      </c>
      <c r="C290" t="s">
        <v>38</v>
      </c>
      <c r="D290" t="s">
        <v>28</v>
      </c>
      <c r="E290" s="1" t="s">
        <v>322</v>
      </c>
      <c r="F290">
        <f>VLOOKUP(Tabela14[[#This Row],[ID_COD]],Tabela2[],6,0)</f>
        <v>0</v>
      </c>
      <c r="G290" t="s">
        <v>79</v>
      </c>
      <c r="H290" s="2">
        <v>7.11</v>
      </c>
    </row>
    <row r="291" spans="1:8" x14ac:dyDescent="0.25">
      <c r="A291">
        <v>1613</v>
      </c>
      <c r="B291" t="s">
        <v>62</v>
      </c>
      <c r="C291" t="s">
        <v>39</v>
      </c>
      <c r="D291" t="s">
        <v>28</v>
      </c>
      <c r="E291" s="1" t="s">
        <v>322</v>
      </c>
      <c r="F291">
        <f>VLOOKUP(Tabela14[[#This Row],[ID_COD]],Tabela2[],6,0)</f>
        <v>0</v>
      </c>
      <c r="G291" t="s">
        <v>86</v>
      </c>
      <c r="H291" s="2">
        <v>8.32</v>
      </c>
    </row>
    <row r="292" spans="1:8" x14ac:dyDescent="0.25">
      <c r="A292">
        <v>1614</v>
      </c>
      <c r="B292" t="s">
        <v>62</v>
      </c>
      <c r="C292" t="s">
        <v>40</v>
      </c>
      <c r="D292" t="s">
        <v>28</v>
      </c>
      <c r="E292" s="1" t="s">
        <v>322</v>
      </c>
      <c r="F292">
        <f>VLOOKUP(Tabela14[[#This Row],[ID_COD]],Tabela2[],6,0)</f>
        <v>0</v>
      </c>
      <c r="G292" t="s">
        <v>94</v>
      </c>
      <c r="H292" s="2">
        <v>10.79</v>
      </c>
    </row>
    <row r="293" spans="1:8" x14ac:dyDescent="0.25">
      <c r="B293" t="s">
        <v>62</v>
      </c>
      <c r="C293" t="s">
        <v>41</v>
      </c>
      <c r="D293" t="s">
        <v>28</v>
      </c>
      <c r="E293" s="1" t="s">
        <v>322</v>
      </c>
      <c r="F293" t="e">
        <f>VLOOKUP(Tabela14[[#This Row],[ID_COD]],Tabela2[],6,0)</f>
        <v>#N/A</v>
      </c>
      <c r="H293" s="2" t="e">
        <v>#N/A</v>
      </c>
    </row>
    <row r="294" spans="1:8" x14ac:dyDescent="0.25">
      <c r="A294">
        <v>1615</v>
      </c>
      <c r="B294" t="s">
        <v>62</v>
      </c>
      <c r="C294" t="s">
        <v>42</v>
      </c>
      <c r="D294" t="s">
        <v>28</v>
      </c>
      <c r="E294" s="1" t="s">
        <v>322</v>
      </c>
      <c r="F294">
        <f>VLOOKUP(Tabela14[[#This Row],[ID_COD]],Tabela2[],6,0)</f>
        <v>0</v>
      </c>
      <c r="G294" t="s">
        <v>168</v>
      </c>
      <c r="H294" s="2">
        <v>15.44</v>
      </c>
    </row>
    <row r="295" spans="1:8" x14ac:dyDescent="0.25">
      <c r="B295" t="s">
        <v>62</v>
      </c>
      <c r="C295" t="s">
        <v>44</v>
      </c>
      <c r="D295" t="s">
        <v>43</v>
      </c>
      <c r="E295" s="1" t="s">
        <v>322</v>
      </c>
      <c r="F295" t="e">
        <f>VLOOKUP(Tabela14[[#This Row],[ID_COD]],Tabela2[],6,0)</f>
        <v>#N/A</v>
      </c>
      <c r="H295" s="2">
        <v>4.2699999999999996</v>
      </c>
    </row>
    <row r="296" spans="1:8" x14ac:dyDescent="0.25">
      <c r="A296">
        <v>1621</v>
      </c>
      <c r="B296" t="s">
        <v>62</v>
      </c>
      <c r="C296" t="s">
        <v>45</v>
      </c>
      <c r="D296" t="s">
        <v>43</v>
      </c>
      <c r="E296" s="1" t="s">
        <v>322</v>
      </c>
      <c r="F296">
        <f>VLOOKUP(Tabela14[[#This Row],[ID_COD]],Tabela2[],6,0)</f>
        <v>0</v>
      </c>
      <c r="G296" t="s">
        <v>113</v>
      </c>
      <c r="H296" s="2">
        <v>4.6399999999999997</v>
      </c>
    </row>
    <row r="297" spans="1:8" x14ac:dyDescent="0.25">
      <c r="A297">
        <v>1622</v>
      </c>
      <c r="B297" t="s">
        <v>62</v>
      </c>
      <c r="C297" t="s">
        <v>46</v>
      </c>
      <c r="D297" t="s">
        <v>43</v>
      </c>
      <c r="E297" s="1" t="s">
        <v>322</v>
      </c>
      <c r="F297">
        <f>VLOOKUP(Tabela14[[#This Row],[ID_COD]],Tabela2[],6,0)</f>
        <v>0</v>
      </c>
      <c r="G297" t="s">
        <v>76</v>
      </c>
      <c r="H297" s="2">
        <v>5.74</v>
      </c>
    </row>
    <row r="298" spans="1:8" x14ac:dyDescent="0.25">
      <c r="A298">
        <v>1623</v>
      </c>
      <c r="B298" t="s">
        <v>62</v>
      </c>
      <c r="C298" t="s">
        <v>47</v>
      </c>
      <c r="D298" t="s">
        <v>43</v>
      </c>
      <c r="E298" s="1" t="s">
        <v>322</v>
      </c>
      <c r="F298">
        <f>VLOOKUP(Tabela14[[#This Row],[ID_COD]],Tabela2[],6,0)</f>
        <v>0</v>
      </c>
      <c r="G298" t="s">
        <v>82</v>
      </c>
      <c r="H298" s="2">
        <v>6.57</v>
      </c>
    </row>
    <row r="299" spans="1:8" x14ac:dyDescent="0.25">
      <c r="A299">
        <v>1624</v>
      </c>
      <c r="B299" t="s">
        <v>62</v>
      </c>
      <c r="C299" t="s">
        <v>48</v>
      </c>
      <c r="D299" t="s">
        <v>43</v>
      </c>
      <c r="E299" s="1" t="s">
        <v>322</v>
      </c>
      <c r="F299">
        <f>VLOOKUP(Tabela14[[#This Row],[ID_COD]],Tabela2[],6,0)</f>
        <v>0</v>
      </c>
      <c r="G299" t="s">
        <v>90</v>
      </c>
      <c r="H299" s="2">
        <v>8.4499999999999993</v>
      </c>
    </row>
    <row r="300" spans="1:8" x14ac:dyDescent="0.25">
      <c r="B300" t="s">
        <v>62</v>
      </c>
      <c r="C300" t="s">
        <v>49</v>
      </c>
      <c r="D300" t="s">
        <v>43</v>
      </c>
      <c r="E300" s="1" t="s">
        <v>322</v>
      </c>
      <c r="F300" t="e">
        <f>VLOOKUP(Tabela14[[#This Row],[ID_COD]],Tabela2[],6,0)</f>
        <v>#N/A</v>
      </c>
      <c r="H300" s="2" t="e">
        <v>#N/A</v>
      </c>
    </row>
    <row r="301" spans="1:8" x14ac:dyDescent="0.25">
      <c r="A301">
        <v>1625</v>
      </c>
      <c r="B301" t="s">
        <v>62</v>
      </c>
      <c r="C301" t="s">
        <v>50</v>
      </c>
      <c r="D301" t="s">
        <v>43</v>
      </c>
      <c r="E301" s="1" t="s">
        <v>322</v>
      </c>
      <c r="F301">
        <f>VLOOKUP(Tabela14[[#This Row],[ID_COD]],Tabela2[],6,0)</f>
        <v>0</v>
      </c>
      <c r="G301" t="s">
        <v>100</v>
      </c>
      <c r="H301" s="2">
        <v>12.58</v>
      </c>
    </row>
    <row r="302" spans="1:8" x14ac:dyDescent="0.25">
      <c r="B302" t="s">
        <v>62</v>
      </c>
      <c r="C302" t="s">
        <v>51</v>
      </c>
      <c r="D302" t="s">
        <v>43</v>
      </c>
      <c r="E302" s="1" t="s">
        <v>322</v>
      </c>
      <c r="F302" t="e">
        <f>VLOOKUP(Tabela14[[#This Row],[ID_COD]],Tabela2[],6,0)</f>
        <v>#N/A</v>
      </c>
      <c r="H302" s="2" t="e">
        <v>#N/A</v>
      </c>
    </row>
    <row r="303" spans="1:8" x14ac:dyDescent="0.25">
      <c r="A303">
        <v>1626</v>
      </c>
      <c r="B303" t="s">
        <v>62</v>
      </c>
      <c r="C303" t="s">
        <v>52</v>
      </c>
      <c r="D303" t="s">
        <v>43</v>
      </c>
      <c r="E303" s="1" t="s">
        <v>322</v>
      </c>
      <c r="F303">
        <f>VLOOKUP(Tabela14[[#This Row],[ID_COD]],Tabela2[],6,0)</f>
        <v>0</v>
      </c>
      <c r="G303" t="s">
        <v>123</v>
      </c>
      <c r="H303" s="2">
        <v>6.41</v>
      </c>
    </row>
    <row r="304" spans="1:8" x14ac:dyDescent="0.25">
      <c r="A304">
        <v>1627</v>
      </c>
      <c r="B304" t="s">
        <v>62</v>
      </c>
      <c r="C304" t="s">
        <v>53</v>
      </c>
      <c r="D304" t="s">
        <v>43</v>
      </c>
      <c r="E304" s="1" t="s">
        <v>322</v>
      </c>
      <c r="F304">
        <f>VLOOKUP(Tabela14[[#This Row],[ID_COD]],Tabela2[],6,0)</f>
        <v>0</v>
      </c>
      <c r="G304" t="s">
        <v>134</v>
      </c>
      <c r="H304" s="2">
        <v>7.92</v>
      </c>
    </row>
    <row r="305" spans="1:8" x14ac:dyDescent="0.25">
      <c r="A305">
        <v>1628</v>
      </c>
      <c r="B305" t="s">
        <v>62</v>
      </c>
      <c r="C305" t="s">
        <v>54</v>
      </c>
      <c r="D305" t="s">
        <v>43</v>
      </c>
      <c r="E305" s="1" t="s">
        <v>322</v>
      </c>
      <c r="F305">
        <f>VLOOKUP(Tabela14[[#This Row],[ID_COD]],Tabela2[],6,0)</f>
        <v>0</v>
      </c>
      <c r="G305" t="s">
        <v>147</v>
      </c>
      <c r="H305" s="2">
        <v>9.3699999999999992</v>
      </c>
    </row>
    <row r="306" spans="1:8" x14ac:dyDescent="0.25">
      <c r="A306">
        <v>1629</v>
      </c>
      <c r="B306" t="s">
        <v>62</v>
      </c>
      <c r="C306" t="s">
        <v>55</v>
      </c>
      <c r="D306" t="s">
        <v>43</v>
      </c>
      <c r="E306" s="1" t="s">
        <v>322</v>
      </c>
      <c r="F306">
        <f>VLOOKUP(Tabela14[[#This Row],[ID_COD]],Tabela2[],6,0)</f>
        <v>0</v>
      </c>
      <c r="G306" t="s">
        <v>95</v>
      </c>
      <c r="H306" s="2">
        <v>12.03</v>
      </c>
    </row>
    <row r="307" spans="1:8" x14ac:dyDescent="0.25">
      <c r="B307" t="s">
        <v>62</v>
      </c>
      <c r="C307" t="s">
        <v>56</v>
      </c>
      <c r="D307" t="s">
        <v>43</v>
      </c>
      <c r="E307" s="1" t="s">
        <v>322</v>
      </c>
      <c r="F307" t="e">
        <f>VLOOKUP(Tabela14[[#This Row],[ID_COD]],Tabela2[],6,0)</f>
        <v>#N/A</v>
      </c>
      <c r="H307" s="2" t="e">
        <v>#N/A</v>
      </c>
    </row>
    <row r="308" spans="1:8" x14ac:dyDescent="0.25">
      <c r="A308">
        <v>1630</v>
      </c>
      <c r="B308" t="s">
        <v>62</v>
      </c>
      <c r="C308" t="s">
        <v>57</v>
      </c>
      <c r="D308" t="s">
        <v>43</v>
      </c>
      <c r="E308" s="1" t="s">
        <v>322</v>
      </c>
      <c r="F308">
        <f>VLOOKUP(Tabela14[[#This Row],[ID_COD]],Tabela2[],6,0)</f>
        <v>0</v>
      </c>
      <c r="G308" t="s">
        <v>169</v>
      </c>
      <c r="H308" s="2">
        <v>17.34</v>
      </c>
    </row>
    <row r="309" spans="1:8" x14ac:dyDescent="0.25">
      <c r="B309" t="s">
        <v>62</v>
      </c>
      <c r="C309" t="s">
        <v>29</v>
      </c>
      <c r="D309" t="s">
        <v>58</v>
      </c>
      <c r="E309" s="1" t="s">
        <v>322</v>
      </c>
      <c r="F309" t="e">
        <f>VLOOKUP(Tabela14[[#This Row],[ID_COD]],Tabela2[],6,0)</f>
        <v>#N/A</v>
      </c>
      <c r="H309">
        <v>3.66</v>
      </c>
    </row>
    <row r="310" spans="1:8" x14ac:dyDescent="0.25">
      <c r="A310">
        <v>414</v>
      </c>
      <c r="B310" t="s">
        <v>62</v>
      </c>
      <c r="C310" t="s">
        <v>30</v>
      </c>
      <c r="D310" t="s">
        <v>58</v>
      </c>
      <c r="E310" s="1" t="s">
        <v>322</v>
      </c>
      <c r="F310">
        <f>VLOOKUP(Tabela14[[#This Row],[ID_COD]],Tabela2[],6,0)</f>
        <v>110</v>
      </c>
      <c r="G310" t="s">
        <v>114</v>
      </c>
      <c r="H310" s="2">
        <v>3.85</v>
      </c>
    </row>
    <row r="311" spans="1:8" x14ac:dyDescent="0.25">
      <c r="A311">
        <v>476</v>
      </c>
      <c r="B311" t="s">
        <v>62</v>
      </c>
      <c r="C311" t="s">
        <v>31</v>
      </c>
      <c r="D311" t="s">
        <v>58</v>
      </c>
      <c r="E311" s="1" t="s">
        <v>322</v>
      </c>
      <c r="F311">
        <f>VLOOKUP(Tabela14[[#This Row],[ID_COD]],Tabela2[],6,0)</f>
        <v>86</v>
      </c>
      <c r="G311" t="s">
        <v>125</v>
      </c>
      <c r="H311">
        <v>4.91</v>
      </c>
    </row>
    <row r="312" spans="1:8" x14ac:dyDescent="0.25">
      <c r="A312">
        <v>419</v>
      </c>
      <c r="B312" t="s">
        <v>62</v>
      </c>
      <c r="C312" t="s">
        <v>32</v>
      </c>
      <c r="D312" t="s">
        <v>58</v>
      </c>
      <c r="E312" s="1" t="s">
        <v>322</v>
      </c>
      <c r="F312">
        <f>VLOOKUP(Tabela14[[#This Row],[ID_COD]],Tabela2[],6,0)</f>
        <v>70</v>
      </c>
      <c r="G312" t="s">
        <v>136</v>
      </c>
      <c r="H312" s="2">
        <v>5.47</v>
      </c>
    </row>
    <row r="313" spans="1:8" x14ac:dyDescent="0.25">
      <c r="A313">
        <v>423</v>
      </c>
      <c r="B313" t="s">
        <v>62</v>
      </c>
      <c r="C313" t="s">
        <v>33</v>
      </c>
      <c r="D313" t="s">
        <v>58</v>
      </c>
      <c r="E313" s="1" t="s">
        <v>322</v>
      </c>
      <c r="F313">
        <f>VLOOKUP(Tabela14[[#This Row],[ID_COD]],Tabela2[],6,0)</f>
        <v>52</v>
      </c>
      <c r="G313" t="s">
        <v>150</v>
      </c>
      <c r="H313" s="2">
        <v>7.03</v>
      </c>
    </row>
    <row r="314" spans="1:8" x14ac:dyDescent="0.25">
      <c r="B314" t="s">
        <v>62</v>
      </c>
      <c r="C314" t="s">
        <v>34</v>
      </c>
      <c r="D314" t="s">
        <v>58</v>
      </c>
      <c r="E314" s="1" t="s">
        <v>322</v>
      </c>
      <c r="F314" t="e">
        <f>VLOOKUP(Tabela14[[#This Row],[ID_COD]],Tabela2[],6,0)</f>
        <v>#N/A</v>
      </c>
      <c r="H314" s="2" t="e">
        <v>#N/A</v>
      </c>
    </row>
    <row r="315" spans="1:8" x14ac:dyDescent="0.25">
      <c r="A315">
        <v>427</v>
      </c>
      <c r="B315" t="s">
        <v>62</v>
      </c>
      <c r="C315" t="s">
        <v>35</v>
      </c>
      <c r="D315" t="s">
        <v>58</v>
      </c>
      <c r="E315" s="1" t="s">
        <v>322</v>
      </c>
      <c r="F315">
        <f>VLOOKUP(Tabela14[[#This Row],[ID_COD]],Tabela2[],6,0)</f>
        <v>42</v>
      </c>
      <c r="G315" t="s">
        <v>158</v>
      </c>
      <c r="H315">
        <v>10.74</v>
      </c>
    </row>
    <row r="316" spans="1:8" x14ac:dyDescent="0.25">
      <c r="B316" t="s">
        <v>62</v>
      </c>
      <c r="C316" t="s">
        <v>36</v>
      </c>
      <c r="D316" t="s">
        <v>58</v>
      </c>
      <c r="E316" s="1" t="s">
        <v>322</v>
      </c>
      <c r="F316" t="e">
        <f>VLOOKUP(Tabela14[[#This Row],[ID_COD]],Tabela2[],6,0)</f>
        <v>#N/A</v>
      </c>
      <c r="H316" s="2" t="e">
        <v>#N/A</v>
      </c>
    </row>
    <row r="317" spans="1:8" x14ac:dyDescent="0.25">
      <c r="A317">
        <v>417</v>
      </c>
      <c r="B317" t="s">
        <v>62</v>
      </c>
      <c r="C317" t="s">
        <v>37</v>
      </c>
      <c r="D317" t="s">
        <v>58</v>
      </c>
      <c r="E317" s="1" t="s">
        <v>322</v>
      </c>
      <c r="F317">
        <f>VLOOKUP(Tabela14[[#This Row],[ID_COD]],Tabela2[],6,0)</f>
        <v>86</v>
      </c>
      <c r="G317" t="s">
        <v>118</v>
      </c>
      <c r="H317" s="2">
        <v>5.38</v>
      </c>
    </row>
    <row r="318" spans="1:8" x14ac:dyDescent="0.25">
      <c r="A318">
        <v>474</v>
      </c>
      <c r="B318" t="s">
        <v>62</v>
      </c>
      <c r="C318" t="s">
        <v>38</v>
      </c>
      <c r="D318" t="s">
        <v>58</v>
      </c>
      <c r="E318" s="1" t="s">
        <v>322</v>
      </c>
      <c r="F318">
        <f>VLOOKUP(Tabela14[[#This Row],[ID_COD]],Tabela2[],6,0)</f>
        <v>70</v>
      </c>
      <c r="G318" t="s">
        <v>130</v>
      </c>
      <c r="H318" s="2">
        <v>6.78</v>
      </c>
    </row>
    <row r="319" spans="1:8" x14ac:dyDescent="0.25">
      <c r="A319">
        <v>421</v>
      </c>
      <c r="B319" t="s">
        <v>62</v>
      </c>
      <c r="C319" t="s">
        <v>39</v>
      </c>
      <c r="D319" t="s">
        <v>58</v>
      </c>
      <c r="E319" s="1" t="s">
        <v>322</v>
      </c>
      <c r="F319">
        <f>VLOOKUP(Tabela14[[#This Row],[ID_COD]],Tabela2[],6,0)</f>
        <v>60</v>
      </c>
      <c r="G319" t="s">
        <v>144</v>
      </c>
      <c r="H319" s="2">
        <v>7.94</v>
      </c>
    </row>
    <row r="320" spans="1:8" x14ac:dyDescent="0.25">
      <c r="A320">
        <v>425</v>
      </c>
      <c r="B320" t="s">
        <v>62</v>
      </c>
      <c r="C320" t="s">
        <v>40</v>
      </c>
      <c r="D320" t="s">
        <v>58</v>
      </c>
      <c r="E320" s="1" t="s">
        <v>322</v>
      </c>
      <c r="F320">
        <f>VLOOKUP(Tabela14[[#This Row],[ID_COD]],Tabela2[],6,0)</f>
        <v>44</v>
      </c>
      <c r="G320" t="s">
        <v>154</v>
      </c>
      <c r="H320" s="2">
        <v>10.3</v>
      </c>
    </row>
    <row r="321" spans="1:8" x14ac:dyDescent="0.25">
      <c r="B321" t="s">
        <v>62</v>
      </c>
      <c r="C321" t="s">
        <v>41</v>
      </c>
      <c r="D321" t="s">
        <v>58</v>
      </c>
      <c r="E321" s="1" t="s">
        <v>322</v>
      </c>
      <c r="F321" t="e">
        <f>VLOOKUP(Tabela14[[#This Row],[ID_COD]],Tabela2[],6,0)</f>
        <v>#N/A</v>
      </c>
      <c r="H321" s="2" t="e">
        <v>#N/A</v>
      </c>
    </row>
    <row r="322" spans="1:8" x14ac:dyDescent="0.25">
      <c r="A322">
        <v>429</v>
      </c>
      <c r="B322" t="s">
        <v>62</v>
      </c>
      <c r="C322" t="s">
        <v>42</v>
      </c>
      <c r="D322" t="s">
        <v>58</v>
      </c>
      <c r="E322" s="1" t="s">
        <v>322</v>
      </c>
      <c r="F322">
        <f>VLOOKUP(Tabela14[[#This Row],[ID_COD]],Tabela2[],6,0)</f>
        <v>28</v>
      </c>
      <c r="G322" t="s">
        <v>162</v>
      </c>
      <c r="H322">
        <v>14.74</v>
      </c>
    </row>
    <row r="323" spans="1:8" x14ac:dyDescent="0.25">
      <c r="B323" t="s">
        <v>62</v>
      </c>
      <c r="C323" t="s">
        <v>44</v>
      </c>
      <c r="D323" t="s">
        <v>59</v>
      </c>
      <c r="E323" s="1" t="s">
        <v>322</v>
      </c>
      <c r="F323" t="e">
        <f>VLOOKUP(Tabela14[[#This Row],[ID_COD]],Tabela2[],6,0)</f>
        <v>#N/A</v>
      </c>
      <c r="H323" s="2">
        <v>4.2699999999999996</v>
      </c>
    </row>
    <row r="324" spans="1:8" x14ac:dyDescent="0.25">
      <c r="A324">
        <v>416</v>
      </c>
      <c r="B324" t="s">
        <v>62</v>
      </c>
      <c r="C324" t="s">
        <v>45</v>
      </c>
      <c r="D324" t="s">
        <v>59</v>
      </c>
      <c r="E324" s="1" t="s">
        <v>322</v>
      </c>
      <c r="F324">
        <f>VLOOKUP(Tabela14[[#This Row],[ID_COD]],Tabela2[],6,0)</f>
        <v>100</v>
      </c>
      <c r="G324" t="s">
        <v>115</v>
      </c>
      <c r="H324" s="2">
        <v>4.6399999999999997</v>
      </c>
    </row>
    <row r="325" spans="1:8" x14ac:dyDescent="0.25">
      <c r="A325">
        <v>477</v>
      </c>
      <c r="B325" t="s">
        <v>62</v>
      </c>
      <c r="C325" t="s">
        <v>46</v>
      </c>
      <c r="D325" t="s">
        <v>59</v>
      </c>
      <c r="E325" s="1" t="s">
        <v>322</v>
      </c>
      <c r="F325">
        <f>VLOOKUP(Tabela14[[#This Row],[ID_COD]],Tabela2[],6,0)</f>
        <v>0</v>
      </c>
      <c r="G325" t="s">
        <v>128</v>
      </c>
      <c r="H325" s="2">
        <v>5.74</v>
      </c>
    </row>
    <row r="326" spans="1:8" x14ac:dyDescent="0.25">
      <c r="A326">
        <v>420</v>
      </c>
      <c r="B326" t="s">
        <v>62</v>
      </c>
      <c r="C326" t="s">
        <v>47</v>
      </c>
      <c r="D326" t="s">
        <v>59</v>
      </c>
      <c r="E326" s="1" t="s">
        <v>322</v>
      </c>
      <c r="F326">
        <f>VLOOKUP(Tabela14[[#This Row],[ID_COD]],Tabela2[],6,0)</f>
        <v>66</v>
      </c>
      <c r="G326" t="s">
        <v>142</v>
      </c>
      <c r="H326" s="2">
        <v>6.57</v>
      </c>
    </row>
    <row r="327" spans="1:8" x14ac:dyDescent="0.25">
      <c r="A327">
        <v>424</v>
      </c>
      <c r="B327" t="s">
        <v>62</v>
      </c>
      <c r="C327" t="s">
        <v>48</v>
      </c>
      <c r="D327" t="s">
        <v>59</v>
      </c>
      <c r="E327" s="1" t="s">
        <v>322</v>
      </c>
      <c r="F327">
        <f>VLOOKUP(Tabela14[[#This Row],[ID_COD]],Tabela2[],6,0)</f>
        <v>48</v>
      </c>
      <c r="G327" t="s">
        <v>151</v>
      </c>
      <c r="H327" s="2">
        <v>8.4499999999999993</v>
      </c>
    </row>
    <row r="328" spans="1:8" x14ac:dyDescent="0.25">
      <c r="B328" t="s">
        <v>62</v>
      </c>
      <c r="C328" t="s">
        <v>49</v>
      </c>
      <c r="D328" t="s">
        <v>59</v>
      </c>
      <c r="E328" s="1" t="s">
        <v>322</v>
      </c>
      <c r="F328" t="e">
        <f>VLOOKUP(Tabela14[[#This Row],[ID_COD]],Tabela2[],6,0)</f>
        <v>#N/A</v>
      </c>
      <c r="H328" s="2" t="e">
        <v>#N/A</v>
      </c>
    </row>
    <row r="329" spans="1:8" x14ac:dyDescent="0.25">
      <c r="A329">
        <v>428</v>
      </c>
      <c r="B329" t="s">
        <v>62</v>
      </c>
      <c r="C329" t="s">
        <v>50</v>
      </c>
      <c r="D329" t="s">
        <v>59</v>
      </c>
      <c r="E329" s="1" t="s">
        <v>322</v>
      </c>
      <c r="F329">
        <f>VLOOKUP(Tabela14[[#This Row],[ID_COD]],Tabela2[],6,0)</f>
        <v>32</v>
      </c>
      <c r="G329" t="s">
        <v>159</v>
      </c>
      <c r="H329" s="2">
        <v>12.58</v>
      </c>
    </row>
    <row r="330" spans="1:8" x14ac:dyDescent="0.25">
      <c r="B330" t="s">
        <v>62</v>
      </c>
      <c r="C330" t="s">
        <v>51</v>
      </c>
      <c r="D330" t="s">
        <v>59</v>
      </c>
      <c r="E330" s="1" t="s">
        <v>322</v>
      </c>
      <c r="F330" t="e">
        <f>VLOOKUP(Tabela14[[#This Row],[ID_COD]],Tabela2[],6,0)</f>
        <v>#N/A</v>
      </c>
      <c r="H330" s="2" t="e">
        <v>#N/A</v>
      </c>
    </row>
    <row r="331" spans="1:8" x14ac:dyDescent="0.25">
      <c r="A331">
        <v>418</v>
      </c>
      <c r="B331" t="s">
        <v>62</v>
      </c>
      <c r="C331" t="s">
        <v>52</v>
      </c>
      <c r="D331" t="s">
        <v>59</v>
      </c>
      <c r="E331" s="1" t="s">
        <v>322</v>
      </c>
      <c r="F331">
        <f>VLOOKUP(Tabela14[[#This Row],[ID_COD]],Tabela2[],6,0)</f>
        <v>0</v>
      </c>
      <c r="G331" t="s">
        <v>119</v>
      </c>
      <c r="H331" s="2">
        <v>6.41</v>
      </c>
    </row>
    <row r="332" spans="1:8" x14ac:dyDescent="0.25">
      <c r="A332">
        <v>475</v>
      </c>
      <c r="B332" t="s">
        <v>62</v>
      </c>
      <c r="C332" t="s">
        <v>53</v>
      </c>
      <c r="D332" t="s">
        <v>59</v>
      </c>
      <c r="E332" s="1" t="s">
        <v>322</v>
      </c>
      <c r="F332">
        <f>VLOOKUP(Tabela14[[#This Row],[ID_COD]],Tabela2[],6,0)</f>
        <v>0</v>
      </c>
      <c r="G332" t="s">
        <v>131</v>
      </c>
      <c r="H332" s="2">
        <v>7.92</v>
      </c>
    </row>
    <row r="333" spans="1:8" x14ac:dyDescent="0.25">
      <c r="A333">
        <v>422</v>
      </c>
      <c r="B333" t="s">
        <v>62</v>
      </c>
      <c r="C333" t="s">
        <v>54</v>
      </c>
      <c r="D333" t="s">
        <v>59</v>
      </c>
      <c r="E333" s="1" t="s">
        <v>322</v>
      </c>
      <c r="F333">
        <f>VLOOKUP(Tabela14[[#This Row],[ID_COD]],Tabela2[],6,0)</f>
        <v>0</v>
      </c>
      <c r="G333" t="s">
        <v>146</v>
      </c>
      <c r="H333" s="2">
        <v>9.3699999999999992</v>
      </c>
    </row>
    <row r="334" spans="1:8" x14ac:dyDescent="0.25">
      <c r="A334">
        <v>426</v>
      </c>
      <c r="B334" t="s">
        <v>62</v>
      </c>
      <c r="C334" t="s">
        <v>55</v>
      </c>
      <c r="D334" t="s">
        <v>59</v>
      </c>
      <c r="E334" s="1" t="s">
        <v>322</v>
      </c>
      <c r="F334">
        <f>VLOOKUP(Tabela14[[#This Row],[ID_COD]],Tabela2[],6,0)</f>
        <v>0</v>
      </c>
      <c r="G334" t="s">
        <v>156</v>
      </c>
      <c r="H334" s="2">
        <v>12.03</v>
      </c>
    </row>
    <row r="335" spans="1:8" x14ac:dyDescent="0.25">
      <c r="B335" t="s">
        <v>62</v>
      </c>
      <c r="C335" t="s">
        <v>56</v>
      </c>
      <c r="D335" t="s">
        <v>59</v>
      </c>
      <c r="E335" s="1" t="s">
        <v>322</v>
      </c>
      <c r="F335" t="e">
        <f>VLOOKUP(Tabela14[[#This Row],[ID_COD]],Tabela2[],6,0)</f>
        <v>#N/A</v>
      </c>
      <c r="H335" s="2" t="e">
        <v>#N/A</v>
      </c>
    </row>
    <row r="336" spans="1:8" x14ac:dyDescent="0.25">
      <c r="A336">
        <v>430</v>
      </c>
      <c r="B336" t="s">
        <v>62</v>
      </c>
      <c r="C336" t="s">
        <v>57</v>
      </c>
      <c r="D336" t="s">
        <v>59</v>
      </c>
      <c r="E336" s="1" t="s">
        <v>322</v>
      </c>
      <c r="F336">
        <f>VLOOKUP(Tabela14[[#This Row],[ID_COD]],Tabela2[],6,0)</f>
        <v>0</v>
      </c>
      <c r="G336" t="s">
        <v>163</v>
      </c>
      <c r="H336" s="2">
        <v>17.34</v>
      </c>
    </row>
    <row r="337" spans="1:8" x14ac:dyDescent="0.25">
      <c r="B337" t="s">
        <v>62</v>
      </c>
      <c r="C337" t="s">
        <v>29</v>
      </c>
      <c r="D337" t="s">
        <v>60</v>
      </c>
      <c r="E337" s="1" t="s">
        <v>322</v>
      </c>
      <c r="F337" t="e">
        <f>VLOOKUP(Tabela14[[#This Row],[ID_COD]],Tabela2[],6,0)</f>
        <v>#N/A</v>
      </c>
      <c r="H337" s="2">
        <v>3.66</v>
      </c>
    </row>
    <row r="338" spans="1:8" x14ac:dyDescent="0.25">
      <c r="A338">
        <v>1666</v>
      </c>
      <c r="B338" t="s">
        <v>62</v>
      </c>
      <c r="C338" t="s">
        <v>30</v>
      </c>
      <c r="D338" t="s">
        <v>60</v>
      </c>
      <c r="E338" s="1" t="s">
        <v>322</v>
      </c>
      <c r="F338">
        <f>VLOOKUP(Tabela14[[#This Row],[ID_COD]],Tabela2[],6,0)</f>
        <v>0</v>
      </c>
      <c r="G338" t="s">
        <v>69</v>
      </c>
      <c r="H338" s="2">
        <v>3.97</v>
      </c>
    </row>
    <row r="339" spans="1:8" x14ac:dyDescent="0.25">
      <c r="A339">
        <v>1667</v>
      </c>
      <c r="B339" t="s">
        <v>62</v>
      </c>
      <c r="C339" t="s">
        <v>31</v>
      </c>
      <c r="D339" t="s">
        <v>60</v>
      </c>
      <c r="E339" s="1" t="s">
        <v>322</v>
      </c>
      <c r="F339">
        <f>VLOOKUP(Tabela14[[#This Row],[ID_COD]],Tabela2[],6,0)</f>
        <v>0</v>
      </c>
      <c r="G339" t="s">
        <v>124</v>
      </c>
      <c r="H339" s="2">
        <v>4.91</v>
      </c>
    </row>
    <row r="340" spans="1:8" x14ac:dyDescent="0.25">
      <c r="A340">
        <v>1668</v>
      </c>
      <c r="B340" t="s">
        <v>62</v>
      </c>
      <c r="C340" t="s">
        <v>32</v>
      </c>
      <c r="D340" t="s">
        <v>60</v>
      </c>
      <c r="E340" s="1" t="s">
        <v>322</v>
      </c>
      <c r="F340">
        <f>VLOOKUP(Tabela14[[#This Row],[ID_COD]],Tabela2[],6,0)</f>
        <v>0</v>
      </c>
      <c r="G340" t="s">
        <v>80</v>
      </c>
      <c r="H340" s="2">
        <v>5.63</v>
      </c>
    </row>
    <row r="341" spans="1:8" x14ac:dyDescent="0.25">
      <c r="A341">
        <v>1669</v>
      </c>
      <c r="B341" t="s">
        <v>62</v>
      </c>
      <c r="C341" t="s">
        <v>33</v>
      </c>
      <c r="D341" t="s">
        <v>60</v>
      </c>
      <c r="E341" s="1" t="s">
        <v>322</v>
      </c>
      <c r="F341">
        <f>VLOOKUP(Tabela14[[#This Row],[ID_COD]],Tabela2[],6,0)</f>
        <v>0</v>
      </c>
      <c r="G341" t="s">
        <v>87</v>
      </c>
      <c r="H341" s="2">
        <v>7.25</v>
      </c>
    </row>
    <row r="342" spans="1:8" x14ac:dyDescent="0.25">
      <c r="B342" t="s">
        <v>62</v>
      </c>
      <c r="C342" t="s">
        <v>34</v>
      </c>
      <c r="D342" t="s">
        <v>60</v>
      </c>
      <c r="E342" s="1" t="s">
        <v>322</v>
      </c>
      <c r="F342" t="e">
        <f>VLOOKUP(Tabela14[[#This Row],[ID_COD]],Tabela2[],6,0)</f>
        <v>#N/A</v>
      </c>
      <c r="H342" s="2" t="e">
        <v>#N/A</v>
      </c>
    </row>
    <row r="343" spans="1:8" x14ac:dyDescent="0.25">
      <c r="A343">
        <v>1670</v>
      </c>
      <c r="B343" t="s">
        <v>62</v>
      </c>
      <c r="C343" t="s">
        <v>35</v>
      </c>
      <c r="D343" t="s">
        <v>60</v>
      </c>
      <c r="E343" s="1" t="s">
        <v>322</v>
      </c>
      <c r="F343">
        <f>VLOOKUP(Tabela14[[#This Row],[ID_COD]],Tabela2[],6,0)</f>
        <v>0</v>
      </c>
      <c r="G343" t="s">
        <v>96</v>
      </c>
      <c r="H343" s="2">
        <v>10.74</v>
      </c>
    </row>
    <row r="344" spans="1:8" x14ac:dyDescent="0.25">
      <c r="B344" t="s">
        <v>62</v>
      </c>
      <c r="C344" t="s">
        <v>36</v>
      </c>
      <c r="D344" t="s">
        <v>60</v>
      </c>
      <c r="E344" s="1" t="s">
        <v>322</v>
      </c>
      <c r="F344" t="e">
        <f>VLOOKUP(Tabela14[[#This Row],[ID_COD]],Tabela2[],6,0)</f>
        <v>#N/A</v>
      </c>
      <c r="H344" s="2" t="e">
        <v>#N/A</v>
      </c>
    </row>
    <row r="345" spans="1:8" x14ac:dyDescent="0.25">
      <c r="A345">
        <v>1671</v>
      </c>
      <c r="B345" t="s">
        <v>62</v>
      </c>
      <c r="C345" t="s">
        <v>37</v>
      </c>
      <c r="D345" t="s">
        <v>60</v>
      </c>
      <c r="E345" s="1" t="s">
        <v>322</v>
      </c>
      <c r="F345">
        <f>VLOOKUP(Tabela14[[#This Row],[ID_COD]],Tabela2[],6,0)</f>
        <v>0</v>
      </c>
      <c r="G345" t="s">
        <v>71</v>
      </c>
      <c r="H345" s="2">
        <v>5.38</v>
      </c>
    </row>
    <row r="346" spans="1:8" x14ac:dyDescent="0.25">
      <c r="A346">
        <v>1672</v>
      </c>
      <c r="B346" t="s">
        <v>62</v>
      </c>
      <c r="C346" t="s">
        <v>38</v>
      </c>
      <c r="D346" t="s">
        <v>60</v>
      </c>
      <c r="E346" s="1" t="s">
        <v>322</v>
      </c>
      <c r="F346">
        <f>VLOOKUP(Tabela14[[#This Row],[ID_COD]],Tabela2[],6,0)</f>
        <v>0</v>
      </c>
      <c r="G346" t="s">
        <v>77</v>
      </c>
      <c r="H346" s="2">
        <v>6.78</v>
      </c>
    </row>
    <row r="347" spans="1:8" x14ac:dyDescent="0.25">
      <c r="A347">
        <v>1673</v>
      </c>
      <c r="B347" t="s">
        <v>62</v>
      </c>
      <c r="C347" t="s">
        <v>39</v>
      </c>
      <c r="D347" t="s">
        <v>60</v>
      </c>
      <c r="E347" s="1" t="s">
        <v>322</v>
      </c>
      <c r="F347">
        <f>VLOOKUP(Tabela14[[#This Row],[ID_COD]],Tabela2[],6,0)</f>
        <v>0</v>
      </c>
      <c r="G347" t="s">
        <v>83</v>
      </c>
      <c r="H347" s="2">
        <v>7.94</v>
      </c>
    </row>
    <row r="348" spans="1:8" x14ac:dyDescent="0.25">
      <c r="A348">
        <v>1674</v>
      </c>
      <c r="B348" t="s">
        <v>62</v>
      </c>
      <c r="C348" t="s">
        <v>40</v>
      </c>
      <c r="D348" t="s">
        <v>60</v>
      </c>
      <c r="E348" s="1" t="s">
        <v>322</v>
      </c>
      <c r="F348">
        <f>VLOOKUP(Tabela14[[#This Row],[ID_COD]],Tabela2[],6,0)</f>
        <v>0</v>
      </c>
      <c r="G348" t="s">
        <v>91</v>
      </c>
      <c r="H348" s="2">
        <v>10.3</v>
      </c>
    </row>
    <row r="349" spans="1:8" x14ac:dyDescent="0.25">
      <c r="B349" t="s">
        <v>62</v>
      </c>
      <c r="C349" t="s">
        <v>41</v>
      </c>
      <c r="D349" t="s">
        <v>60</v>
      </c>
      <c r="E349" s="1" t="s">
        <v>322</v>
      </c>
      <c r="F349" t="e">
        <f>VLOOKUP(Tabela14[[#This Row],[ID_COD]],Tabela2[],6,0)</f>
        <v>#N/A</v>
      </c>
      <c r="H349" s="2" t="e">
        <v>#N/A</v>
      </c>
    </row>
    <row r="350" spans="1:8" x14ac:dyDescent="0.25">
      <c r="A350">
        <v>1675</v>
      </c>
      <c r="B350" t="s">
        <v>62</v>
      </c>
      <c r="C350" t="s">
        <v>42</v>
      </c>
      <c r="D350" t="s">
        <v>60</v>
      </c>
      <c r="E350" s="1" t="s">
        <v>322</v>
      </c>
      <c r="F350">
        <f>VLOOKUP(Tabela14[[#This Row],[ID_COD]],Tabela2[],6,0)</f>
        <v>0</v>
      </c>
      <c r="G350" t="s">
        <v>101</v>
      </c>
      <c r="H350" s="2">
        <v>14.74</v>
      </c>
    </row>
    <row r="351" spans="1:8" x14ac:dyDescent="0.25">
      <c r="B351" t="s">
        <v>62</v>
      </c>
      <c r="C351" t="s">
        <v>44</v>
      </c>
      <c r="D351" t="s">
        <v>61</v>
      </c>
      <c r="E351" s="1" t="s">
        <v>322</v>
      </c>
      <c r="F351" t="e">
        <f>VLOOKUP(Tabela14[[#This Row],[ID_COD]],Tabela2[],6,0)</f>
        <v>#N/A</v>
      </c>
      <c r="H351" s="2">
        <v>4.2699999999999996</v>
      </c>
    </row>
    <row r="352" spans="1:8" x14ac:dyDescent="0.25">
      <c r="A352">
        <v>1676</v>
      </c>
      <c r="B352" t="s">
        <v>62</v>
      </c>
      <c r="C352" t="s">
        <v>45</v>
      </c>
      <c r="D352" t="s">
        <v>61</v>
      </c>
      <c r="E352" s="1" t="s">
        <v>322</v>
      </c>
      <c r="F352">
        <f>VLOOKUP(Tabela14[[#This Row],[ID_COD]],Tabela2[],6,0)</f>
        <v>0</v>
      </c>
      <c r="G352" t="s">
        <v>110</v>
      </c>
      <c r="H352" s="2">
        <v>4.6399999999999997</v>
      </c>
    </row>
    <row r="353" spans="1:8" x14ac:dyDescent="0.25">
      <c r="A353">
        <v>1677</v>
      </c>
      <c r="B353" t="s">
        <v>62</v>
      </c>
      <c r="C353" t="s">
        <v>46</v>
      </c>
      <c r="D353" t="s">
        <v>61</v>
      </c>
      <c r="E353" s="1" t="s">
        <v>322</v>
      </c>
      <c r="F353">
        <f>VLOOKUP(Tabela14[[#This Row],[ID_COD]],Tabela2[],6,0)</f>
        <v>0</v>
      </c>
      <c r="G353" t="s">
        <v>73</v>
      </c>
      <c r="H353" s="2">
        <v>5.74</v>
      </c>
    </row>
    <row r="354" spans="1:8" x14ac:dyDescent="0.25">
      <c r="A354">
        <v>1678</v>
      </c>
      <c r="B354" t="s">
        <v>62</v>
      </c>
      <c r="C354" t="s">
        <v>47</v>
      </c>
      <c r="D354" t="s">
        <v>61</v>
      </c>
      <c r="E354" s="1" t="s">
        <v>322</v>
      </c>
      <c r="F354">
        <f>VLOOKUP(Tabela14[[#This Row],[ID_COD]],Tabela2[],6,0)</f>
        <v>0</v>
      </c>
      <c r="G354" t="s">
        <v>135</v>
      </c>
      <c r="H354" s="2">
        <v>6.57</v>
      </c>
    </row>
    <row r="355" spans="1:8" x14ac:dyDescent="0.25">
      <c r="A355">
        <v>1679</v>
      </c>
      <c r="B355" t="s">
        <v>62</v>
      </c>
      <c r="C355" t="s">
        <v>48</v>
      </c>
      <c r="D355" t="s">
        <v>61</v>
      </c>
      <c r="E355" s="1" t="s">
        <v>322</v>
      </c>
      <c r="F355">
        <f>VLOOKUP(Tabela14[[#This Row],[ID_COD]],Tabela2[],6,0)</f>
        <v>0</v>
      </c>
      <c r="G355" t="s">
        <v>87</v>
      </c>
      <c r="H355" s="2">
        <v>8.4499999999999993</v>
      </c>
    </row>
    <row r="356" spans="1:8" x14ac:dyDescent="0.25">
      <c r="B356" t="s">
        <v>62</v>
      </c>
      <c r="C356" t="s">
        <v>49</v>
      </c>
      <c r="D356" t="s">
        <v>61</v>
      </c>
      <c r="E356" s="1" t="s">
        <v>322</v>
      </c>
      <c r="F356" t="e">
        <f>VLOOKUP(Tabela14[[#This Row],[ID_COD]],Tabela2[],6,0)</f>
        <v>#N/A</v>
      </c>
      <c r="H356" s="2" t="e">
        <v>#N/A</v>
      </c>
    </row>
    <row r="357" spans="1:8" x14ac:dyDescent="0.25">
      <c r="A357">
        <v>1680</v>
      </c>
      <c r="B357" t="s">
        <v>62</v>
      </c>
      <c r="C357" t="s">
        <v>50</v>
      </c>
      <c r="D357" t="s">
        <v>61</v>
      </c>
      <c r="E357" s="1" t="s">
        <v>322</v>
      </c>
      <c r="F357">
        <f>VLOOKUP(Tabela14[[#This Row],[ID_COD]],Tabela2[],6,0)</f>
        <v>0</v>
      </c>
      <c r="G357" t="s">
        <v>96</v>
      </c>
      <c r="H357" s="2">
        <v>12.58</v>
      </c>
    </row>
    <row r="358" spans="1:8" x14ac:dyDescent="0.25">
      <c r="B358" t="s">
        <v>62</v>
      </c>
      <c r="C358" t="s">
        <v>51</v>
      </c>
      <c r="D358" t="s">
        <v>61</v>
      </c>
      <c r="E358" s="1" t="s">
        <v>322</v>
      </c>
      <c r="F358" t="e">
        <f>VLOOKUP(Tabela14[[#This Row],[ID_COD]],Tabela2[],6,0)</f>
        <v>#N/A</v>
      </c>
      <c r="H358" s="2" t="e">
        <v>#N/A</v>
      </c>
    </row>
    <row r="359" spans="1:8" x14ac:dyDescent="0.25">
      <c r="A359">
        <v>1681</v>
      </c>
      <c r="B359" t="s">
        <v>62</v>
      </c>
      <c r="C359" t="s">
        <v>52</v>
      </c>
      <c r="D359" t="s">
        <v>61</v>
      </c>
      <c r="E359" s="1" t="s">
        <v>322</v>
      </c>
      <c r="F359">
        <f>VLOOKUP(Tabela14[[#This Row],[ID_COD]],Tabela2[],6,0)</f>
        <v>0</v>
      </c>
      <c r="G359" t="s">
        <v>116</v>
      </c>
      <c r="H359" s="2">
        <v>6.41</v>
      </c>
    </row>
    <row r="360" spans="1:8" x14ac:dyDescent="0.25">
      <c r="A360">
        <v>1682</v>
      </c>
      <c r="B360" t="s">
        <v>62</v>
      </c>
      <c r="C360" t="s">
        <v>53</v>
      </c>
      <c r="D360" t="s">
        <v>61</v>
      </c>
      <c r="E360" s="1" t="s">
        <v>322</v>
      </c>
      <c r="F360">
        <f>VLOOKUP(Tabela14[[#This Row],[ID_COD]],Tabela2[],6,0)</f>
        <v>0</v>
      </c>
      <c r="G360" t="s">
        <v>129</v>
      </c>
      <c r="H360" s="2">
        <v>7.92</v>
      </c>
    </row>
    <row r="361" spans="1:8" x14ac:dyDescent="0.25">
      <c r="A361">
        <v>1683</v>
      </c>
      <c r="B361" t="s">
        <v>62</v>
      </c>
      <c r="C361" t="s">
        <v>54</v>
      </c>
      <c r="D361" t="s">
        <v>61</v>
      </c>
      <c r="E361" s="1" t="s">
        <v>322</v>
      </c>
      <c r="F361">
        <f>VLOOKUP(Tabela14[[#This Row],[ID_COD]],Tabela2[],6,0)</f>
        <v>0</v>
      </c>
      <c r="G361" t="s">
        <v>143</v>
      </c>
      <c r="H361" s="2">
        <v>9.3699999999999992</v>
      </c>
    </row>
    <row r="362" spans="1:8" x14ac:dyDescent="0.25">
      <c r="A362">
        <v>1684</v>
      </c>
      <c r="B362" t="s">
        <v>62</v>
      </c>
      <c r="C362" t="s">
        <v>55</v>
      </c>
      <c r="D362" t="s">
        <v>61</v>
      </c>
      <c r="E362" s="1" t="s">
        <v>322</v>
      </c>
      <c r="F362">
        <f>VLOOKUP(Tabela14[[#This Row],[ID_COD]],Tabela2[],6,0)</f>
        <v>0</v>
      </c>
      <c r="G362" t="s">
        <v>91</v>
      </c>
      <c r="H362" s="2">
        <v>12.03</v>
      </c>
    </row>
    <row r="363" spans="1:8" x14ac:dyDescent="0.25">
      <c r="B363" t="s">
        <v>62</v>
      </c>
      <c r="C363" t="s">
        <v>56</v>
      </c>
      <c r="D363" t="s">
        <v>61</v>
      </c>
      <c r="E363" s="1" t="s">
        <v>322</v>
      </c>
      <c r="F363" t="e">
        <f>VLOOKUP(Tabela14[[#This Row],[ID_COD]],Tabela2[],6,0)</f>
        <v>#N/A</v>
      </c>
      <c r="H363" s="2" t="e">
        <v>#N/A</v>
      </c>
    </row>
    <row r="364" spans="1:8" x14ac:dyDescent="0.25">
      <c r="A364">
        <v>1685</v>
      </c>
      <c r="B364" t="s">
        <v>62</v>
      </c>
      <c r="C364" t="s">
        <v>57</v>
      </c>
      <c r="D364" t="s">
        <v>61</v>
      </c>
      <c r="E364" s="1" t="s">
        <v>322</v>
      </c>
      <c r="F364">
        <f>VLOOKUP(Tabela14[[#This Row],[ID_COD]],Tabela2[],6,0)</f>
        <v>0</v>
      </c>
      <c r="G364" t="s">
        <v>101</v>
      </c>
      <c r="H364" s="2">
        <v>17.34</v>
      </c>
    </row>
    <row r="365" spans="1:8" hidden="1" x14ac:dyDescent="0.25">
      <c r="A365">
        <v>4</v>
      </c>
      <c r="B365" t="s">
        <v>3</v>
      </c>
      <c r="C365" t="s">
        <v>64</v>
      </c>
      <c r="D365" t="s">
        <v>63</v>
      </c>
      <c r="E365" s="1" t="s">
        <v>322</v>
      </c>
      <c r="F365">
        <f>VLOOKUP(Tabela14[[#This Row],[ID_COD]],Tabela2[],6,0)</f>
        <v>1000</v>
      </c>
      <c r="G365" t="s">
        <v>261</v>
      </c>
      <c r="H365" s="2" t="e">
        <v>#N/A</v>
      </c>
    </row>
    <row r="366" spans="1:8" hidden="1" x14ac:dyDescent="0.25">
      <c r="A366">
        <v>731</v>
      </c>
      <c r="B366" t="s">
        <v>3</v>
      </c>
      <c r="C366" t="s">
        <v>66</v>
      </c>
      <c r="D366" t="s">
        <v>65</v>
      </c>
      <c r="E366" s="1" t="s">
        <v>322</v>
      </c>
      <c r="F366">
        <f>VLOOKUP(Tabela14[[#This Row],[ID_COD]],Tabela2[],6,0)</f>
        <v>1000</v>
      </c>
      <c r="G366" t="s">
        <v>260</v>
      </c>
      <c r="H366" s="2" t="e">
        <v>#N/A</v>
      </c>
    </row>
    <row r="367" spans="1:8" hidden="1" x14ac:dyDescent="0.25">
      <c r="A367">
        <v>730</v>
      </c>
      <c r="B367" t="s">
        <v>3</v>
      </c>
      <c r="C367" t="s">
        <v>68</v>
      </c>
      <c r="D367" t="s">
        <v>67</v>
      </c>
      <c r="E367" s="1" t="s">
        <v>322</v>
      </c>
      <c r="F367">
        <f>VLOOKUP(Tabela14[[#This Row],[ID_COD]],Tabela2[],6,0)</f>
        <v>1000</v>
      </c>
      <c r="G367" t="s">
        <v>263</v>
      </c>
      <c r="H367" s="2" t="e">
        <v>#N/A</v>
      </c>
    </row>
    <row r="368" spans="1:8" hidden="1" x14ac:dyDescent="0.25">
      <c r="A368">
        <v>495</v>
      </c>
      <c r="B368" s="7" t="s">
        <v>441</v>
      </c>
      <c r="C368" s="7" t="s">
        <v>441</v>
      </c>
      <c r="D368" s="7" t="s">
        <v>8</v>
      </c>
      <c r="F368">
        <f>VLOOKUP(Tabela14[[#This Row],[ID_COD]],Tabela2[],6,0)</f>
        <v>0</v>
      </c>
      <c r="G368" t="s">
        <v>441</v>
      </c>
      <c r="H368" s="2">
        <v>40</v>
      </c>
    </row>
    <row r="369" spans="1:8" hidden="1" x14ac:dyDescent="0.25">
      <c r="A369">
        <v>2019</v>
      </c>
      <c r="B369" s="7" t="s">
        <v>442</v>
      </c>
      <c r="C369" t="s">
        <v>20</v>
      </c>
      <c r="D369" s="7" t="s">
        <v>9</v>
      </c>
      <c r="E369">
        <v>350</v>
      </c>
      <c r="F369">
        <f>VLOOKUP(Tabela14[[#This Row],[ID_COD]],Tabela2[],6,0)</f>
        <v>0</v>
      </c>
      <c r="G369" t="s">
        <v>259</v>
      </c>
      <c r="H369" s="2">
        <v>22.79</v>
      </c>
    </row>
    <row r="370" spans="1:8" hidden="1" x14ac:dyDescent="0.25">
      <c r="A370">
        <v>1819</v>
      </c>
      <c r="B370" s="7" t="s">
        <v>227</v>
      </c>
      <c r="C370" t="s">
        <v>26</v>
      </c>
      <c r="D370" s="7" t="s">
        <v>8</v>
      </c>
      <c r="E370">
        <v>210</v>
      </c>
      <c r="F370">
        <f>VLOOKUP(Tabela14[[#This Row],[ID_COD]],Tabela2[],6,0)</f>
        <v>36</v>
      </c>
      <c r="G370" s="7" t="s">
        <v>227</v>
      </c>
      <c r="H370" s="2">
        <v>16.87</v>
      </c>
    </row>
    <row r="371" spans="1:8" hidden="1" x14ac:dyDescent="0.25">
      <c r="A371">
        <v>2011</v>
      </c>
      <c r="B371" s="7" t="s">
        <v>228</v>
      </c>
      <c r="C371" s="7" t="s">
        <v>26</v>
      </c>
      <c r="D371" s="7" t="s">
        <v>9</v>
      </c>
      <c r="E371">
        <v>900</v>
      </c>
      <c r="F371">
        <f>VLOOKUP(Tabela14[[#This Row],[ID_COD]],Tabela2[],6,0)</f>
        <v>0</v>
      </c>
      <c r="G371" t="s">
        <v>228</v>
      </c>
      <c r="H371" s="2">
        <v>58.6</v>
      </c>
    </row>
    <row r="372" spans="1:8" hidden="1" x14ac:dyDescent="0.25">
      <c r="A372">
        <v>2010</v>
      </c>
      <c r="B372" s="7" t="s">
        <v>228</v>
      </c>
      <c r="C372" s="7" t="s">
        <v>26</v>
      </c>
      <c r="D372" s="7" t="s">
        <v>8</v>
      </c>
      <c r="E372">
        <v>320</v>
      </c>
      <c r="F372">
        <f>VLOOKUP(Tabela14[[#This Row],[ID_COD]],Tabela2[],6,0)</f>
        <v>0</v>
      </c>
      <c r="G372" s="7" t="s">
        <v>228</v>
      </c>
      <c r="H372" s="2">
        <v>25.71</v>
      </c>
    </row>
    <row r="373" spans="1:8" hidden="1" x14ac:dyDescent="0.25">
      <c r="A373">
        <v>1822</v>
      </c>
      <c r="B373" s="7" t="s">
        <v>207</v>
      </c>
      <c r="C373" s="7" t="s">
        <v>24</v>
      </c>
      <c r="D373" s="7" t="s">
        <v>9</v>
      </c>
      <c r="E373">
        <v>380</v>
      </c>
      <c r="F373">
        <f>VLOOKUP(Tabela14[[#This Row],[ID_COD]],Tabela2[],6,0)</f>
        <v>20</v>
      </c>
      <c r="G373" s="7" t="s">
        <v>207</v>
      </c>
      <c r="H373" s="2">
        <v>24.51</v>
      </c>
    </row>
    <row r="374" spans="1:8" hidden="1" x14ac:dyDescent="0.25">
      <c r="A374">
        <v>1797</v>
      </c>
      <c r="B374" s="7" t="s">
        <v>443</v>
      </c>
      <c r="C374" t="s">
        <v>13</v>
      </c>
      <c r="D374" s="7" t="s">
        <v>4</v>
      </c>
      <c r="F374">
        <f>VLOOKUP(Tabela14[[#This Row],[ID_COD]],Tabela2[],6,0)</f>
        <v>12</v>
      </c>
      <c r="G374" s="7" t="s">
        <v>443</v>
      </c>
      <c r="H374" s="2">
        <v>48.5</v>
      </c>
    </row>
    <row r="375" spans="1:8" x14ac:dyDescent="0.25">
      <c r="A375" s="7">
        <v>1644</v>
      </c>
      <c r="B375" s="7" t="s">
        <v>370</v>
      </c>
      <c r="C375" s="7" t="s">
        <v>371</v>
      </c>
      <c r="D375" s="7" t="s">
        <v>372</v>
      </c>
      <c r="E375" s="1" t="s">
        <v>373</v>
      </c>
      <c r="F375" t="s">
        <v>4</v>
      </c>
      <c r="G375" t="str">
        <f>CONCATENATE(Tabela14[[#This Row],[Grupo]]," ",Tabela14[[#This Row],[Descrição]])</f>
        <v>ATADURA DE CREPE - FARMA 08CM x 1,20M</v>
      </c>
      <c r="H375" s="25">
        <v>3.9528000000000003</v>
      </c>
    </row>
    <row r="376" spans="1:8" ht="15.75" thickBot="1" x14ac:dyDescent="0.3">
      <c r="A376" s="7">
        <v>1589</v>
      </c>
      <c r="B376" s="7" t="s">
        <v>370</v>
      </c>
      <c r="C376" s="7" t="s">
        <v>374</v>
      </c>
      <c r="D376" s="7" t="s">
        <v>372</v>
      </c>
      <c r="E376" s="1" t="s">
        <v>375</v>
      </c>
      <c r="F376" t="s">
        <v>4</v>
      </c>
      <c r="G376" t="str">
        <f>CONCATENATE(Tabela14[[#This Row],[Grupo]]," ",Tabela14[[#This Row],[Descrição]])</f>
        <v>ATADURA DE CREPE - FARMA 10CM x 1,20M</v>
      </c>
      <c r="H376" s="28">
        <v>4.2876000000000003</v>
      </c>
    </row>
    <row r="377" spans="1:8" ht="15.75" thickBot="1" x14ac:dyDescent="0.3">
      <c r="A377" s="7">
        <v>1590</v>
      </c>
      <c r="B377" s="7" t="s">
        <v>370</v>
      </c>
      <c r="C377" s="7" t="s">
        <v>376</v>
      </c>
      <c r="D377" s="7" t="s">
        <v>372</v>
      </c>
      <c r="E377" s="1" t="s">
        <v>375</v>
      </c>
      <c r="F377" t="s">
        <v>4</v>
      </c>
      <c r="G377" t="str">
        <f>CONCATENATE(Tabela14[[#This Row],[Grupo]]," ",Tabela14[[#This Row],[Descrição]])</f>
        <v>ATADURA DE CREPE - FARMA 12CM x 1,20M</v>
      </c>
      <c r="H377" s="29">
        <v>5.3028000000000004</v>
      </c>
    </row>
    <row r="378" spans="1:8" ht="15.75" thickBot="1" x14ac:dyDescent="0.3">
      <c r="A378" s="7">
        <v>1592</v>
      </c>
      <c r="B378" s="7" t="s">
        <v>370</v>
      </c>
      <c r="C378" s="7" t="s">
        <v>377</v>
      </c>
      <c r="D378" s="7" t="s">
        <v>372</v>
      </c>
      <c r="E378" s="1" t="s">
        <v>378</v>
      </c>
      <c r="F378" t="s">
        <v>4</v>
      </c>
      <c r="G378" t="str">
        <f>CONCATENATE(Tabela14[[#This Row],[Grupo]]," ",Tabela14[[#This Row],[Descrição]])</f>
        <v>ATADURA DE CREPE - FARMA 15CM x 1,20M</v>
      </c>
      <c r="H378" s="29">
        <v>6.0804</v>
      </c>
    </row>
    <row r="379" spans="1:8" ht="15.75" thickBot="1" x14ac:dyDescent="0.3">
      <c r="A379" s="7">
        <v>1593</v>
      </c>
      <c r="B379" s="7" t="s">
        <v>370</v>
      </c>
      <c r="C379" s="7" t="s">
        <v>379</v>
      </c>
      <c r="D379" s="7" t="s">
        <v>372</v>
      </c>
      <c r="E379" s="1" t="s">
        <v>380</v>
      </c>
      <c r="F379" t="s">
        <v>4</v>
      </c>
      <c r="G379" t="str">
        <f>CONCATENATE(Tabela14[[#This Row],[Grupo]]," ",Tabela14[[#This Row],[Descrição]])</f>
        <v>ATADURA DE CREPE - FARMA 20CM x 1,20M</v>
      </c>
      <c r="H379" s="29">
        <v>7.83</v>
      </c>
    </row>
    <row r="380" spans="1:8" ht="15.75" thickBot="1" x14ac:dyDescent="0.3">
      <c r="A380" s="7">
        <v>1594</v>
      </c>
      <c r="B380" s="7" t="s">
        <v>370</v>
      </c>
      <c r="C380" s="7" t="s">
        <v>381</v>
      </c>
      <c r="D380" s="7" t="s">
        <v>372</v>
      </c>
      <c r="E380" s="1" t="s">
        <v>382</v>
      </c>
      <c r="F380" t="s">
        <v>4</v>
      </c>
      <c r="G380" t="str">
        <f>CONCATENATE(Tabela14[[#This Row],[Grupo]]," ",Tabela14[[#This Row],[Descrição]])</f>
        <v>ATADURA DE CREPE - FARMA 30CM x 1,20M</v>
      </c>
      <c r="H380" s="29">
        <v>11.5992</v>
      </c>
    </row>
    <row r="381" spans="1:8" x14ac:dyDescent="0.25">
      <c r="A381" s="7">
        <v>1973</v>
      </c>
      <c r="B381" s="7" t="s">
        <v>370</v>
      </c>
      <c r="C381" s="7" t="s">
        <v>383</v>
      </c>
      <c r="D381" s="7" t="s">
        <v>372</v>
      </c>
      <c r="E381" s="1" t="s">
        <v>384</v>
      </c>
      <c r="F381" t="s">
        <v>4</v>
      </c>
      <c r="G381" t="str">
        <f>CONCATENATE(Tabela14[[#This Row],[Grupo]]," ",Tabela14[[#This Row],[Descrição]])</f>
        <v>ATADURA DE CREPE - FARMA 08CM x 1,80M</v>
      </c>
      <c r="H381" s="24">
        <v>5.3567999999999998</v>
      </c>
    </row>
    <row r="382" spans="1:8" ht="15.75" thickBot="1" x14ac:dyDescent="0.3">
      <c r="A382" s="7">
        <v>1595</v>
      </c>
      <c r="B382" s="7" t="s">
        <v>370</v>
      </c>
      <c r="C382" s="7" t="s">
        <v>385</v>
      </c>
      <c r="D382" s="7" t="s">
        <v>372</v>
      </c>
      <c r="E382" s="1" t="s">
        <v>386</v>
      </c>
      <c r="F382" t="s">
        <v>4</v>
      </c>
      <c r="G382" t="str">
        <f>CONCATENATE(Tabela14[[#This Row],[Grupo]]," ",Tabela14[[#This Row],[Descrição]])</f>
        <v>ATADURA DE CREPE - FARMA 10CM x 1,80M</v>
      </c>
      <c r="H382" s="29">
        <v>5.8103999999999996</v>
      </c>
    </row>
    <row r="383" spans="1:8" ht="15.75" thickBot="1" x14ac:dyDescent="0.3">
      <c r="A383" s="7">
        <v>1596</v>
      </c>
      <c r="B383" s="7" t="s">
        <v>370</v>
      </c>
      <c r="C383" s="7" t="s">
        <v>387</v>
      </c>
      <c r="D383" s="7" t="s">
        <v>372</v>
      </c>
      <c r="E383" s="1" t="s">
        <v>378</v>
      </c>
      <c r="F383" t="s">
        <v>4</v>
      </c>
      <c r="G383" t="str">
        <f>CONCATENATE(Tabela14[[#This Row],[Grupo]]," ",Tabela14[[#This Row],[Descrição]])</f>
        <v>ATADURA DE CREPE - FARMA 12CM x 1,80M</v>
      </c>
      <c r="H383" s="29">
        <v>7.3224</v>
      </c>
    </row>
    <row r="384" spans="1:8" ht="15.75" thickBot="1" x14ac:dyDescent="0.3">
      <c r="A384" s="7">
        <v>1597</v>
      </c>
      <c r="B384" s="7" t="s">
        <v>370</v>
      </c>
      <c r="C384" s="7" t="s">
        <v>388</v>
      </c>
      <c r="D384" s="7" t="s">
        <v>372</v>
      </c>
      <c r="E384" s="1" t="s">
        <v>389</v>
      </c>
      <c r="F384" t="s">
        <v>4</v>
      </c>
      <c r="G384" t="str">
        <f>CONCATENATE(Tabela14[[#This Row],[Grupo]]," ",Tabela14[[#This Row],[Descrição]])</f>
        <v>ATADURA DE CREPE - FARMA 15CM x 1,80M</v>
      </c>
      <c r="H384" s="29">
        <v>8.5752000000000006</v>
      </c>
    </row>
    <row r="385" spans="1:8" ht="15.75" thickBot="1" x14ac:dyDescent="0.3">
      <c r="A385" s="7">
        <v>1598</v>
      </c>
      <c r="B385" s="7" t="s">
        <v>370</v>
      </c>
      <c r="C385" s="7" t="s">
        <v>390</v>
      </c>
      <c r="D385" s="7" t="s">
        <v>372</v>
      </c>
      <c r="E385" s="1" t="s">
        <v>391</v>
      </c>
      <c r="F385" t="s">
        <v>4</v>
      </c>
      <c r="G385" t="str">
        <f>CONCATENATE(Tabela14[[#This Row],[Grupo]]," ",Tabela14[[#This Row],[Descrição]])</f>
        <v>ATADURA DE CREPE - FARMA 20CM x 1,80M</v>
      </c>
      <c r="H385" s="30">
        <v>11.124000000000001</v>
      </c>
    </row>
    <row r="386" spans="1:8" ht="15.75" thickBot="1" x14ac:dyDescent="0.3">
      <c r="A386" s="7">
        <v>1599</v>
      </c>
      <c r="B386" s="7" t="s">
        <v>370</v>
      </c>
      <c r="C386" s="7" t="s">
        <v>392</v>
      </c>
      <c r="D386" s="7" t="s">
        <v>372</v>
      </c>
      <c r="E386" s="1" t="s">
        <v>393</v>
      </c>
      <c r="F386" t="s">
        <v>4</v>
      </c>
      <c r="G386" t="str">
        <f>CONCATENATE(Tabela14[[#This Row],[Grupo]]," ",Tabela14[[#This Row],[Descrição]])</f>
        <v>ATADURA DE CREPE - FARMA 30CM x 1,80M</v>
      </c>
      <c r="H386" s="28">
        <v>15.9192</v>
      </c>
    </row>
    <row r="387" spans="1:8" ht="15.75" thickBot="1" x14ac:dyDescent="0.3">
      <c r="A387" s="7">
        <v>1616</v>
      </c>
      <c r="B387" s="7" t="s">
        <v>394</v>
      </c>
      <c r="C387" s="7" t="s">
        <v>374</v>
      </c>
      <c r="D387" s="7" t="s">
        <v>372</v>
      </c>
      <c r="E387" s="1" t="s">
        <v>375</v>
      </c>
      <c r="F387" t="s">
        <v>4</v>
      </c>
      <c r="G387" t="str">
        <f>CONCATENATE(Tabela14[[#This Row],[Grupo]]," ",Tabela14[[#This Row],[Descrição]])</f>
        <v>ATADURA DE CREPE - HOSPITALAR 10CM x 1,20M</v>
      </c>
      <c r="H387" s="29">
        <v>4.1580000000000004</v>
      </c>
    </row>
    <row r="388" spans="1:8" ht="15.75" thickBot="1" x14ac:dyDescent="0.3">
      <c r="A388" s="7">
        <v>1617</v>
      </c>
      <c r="B388" s="7" t="s">
        <v>394</v>
      </c>
      <c r="C388" s="7" t="s">
        <v>376</v>
      </c>
      <c r="D388" s="7" t="s">
        <v>372</v>
      </c>
      <c r="E388" s="1" t="s">
        <v>395</v>
      </c>
      <c r="F388" t="s">
        <v>4</v>
      </c>
      <c r="G388" t="str">
        <f>CONCATENATE(Tabela14[[#This Row],[Grupo]]," ",Tabela14[[#This Row],[Descrição]])</f>
        <v>ATADURA DE CREPE - HOSPITALAR 12CM x 1,20M</v>
      </c>
      <c r="H388" s="29">
        <v>5.1407999999999996</v>
      </c>
    </row>
    <row r="389" spans="1:8" ht="15.75" thickBot="1" x14ac:dyDescent="0.3">
      <c r="A389" s="7">
        <v>1618</v>
      </c>
      <c r="B389" s="7" t="s">
        <v>394</v>
      </c>
      <c r="C389" s="7" t="s">
        <v>377</v>
      </c>
      <c r="D389" s="7" t="s">
        <v>372</v>
      </c>
      <c r="E389" s="1" t="s">
        <v>380</v>
      </c>
      <c r="F389" t="s">
        <v>4</v>
      </c>
      <c r="G389" t="str">
        <f>CONCATENATE(Tabela14[[#This Row],[Grupo]]," ",Tabela14[[#This Row],[Descrição]])</f>
        <v>ATADURA DE CREPE - HOSPITALAR 15CM x 1,20M</v>
      </c>
      <c r="H389" s="29">
        <v>5.9075999999999995</v>
      </c>
    </row>
    <row r="390" spans="1:8" ht="15.75" thickBot="1" x14ac:dyDescent="0.3">
      <c r="A390" s="7">
        <v>1619</v>
      </c>
      <c r="B390" s="7" t="s">
        <v>394</v>
      </c>
      <c r="C390" s="7" t="s">
        <v>379</v>
      </c>
      <c r="D390" s="7" t="s">
        <v>372</v>
      </c>
      <c r="E390" s="1" t="s">
        <v>396</v>
      </c>
      <c r="F390" t="s">
        <v>4</v>
      </c>
      <c r="G390" t="str">
        <f>CONCATENATE(Tabela14[[#This Row],[Grupo]]," ",Tabela14[[#This Row],[Descrição]])</f>
        <v>ATADURA DE CREPE - HOSPITALAR 20CM x 1,20M</v>
      </c>
      <c r="H390" s="29">
        <v>7.5924000000000005</v>
      </c>
    </row>
    <row r="391" spans="1:8" ht="15.75" thickBot="1" x14ac:dyDescent="0.3">
      <c r="A391" s="7">
        <v>1620</v>
      </c>
      <c r="B391" s="7" t="s">
        <v>394</v>
      </c>
      <c r="C391" s="7" t="s">
        <v>381</v>
      </c>
      <c r="D391" s="7" t="s">
        <v>372</v>
      </c>
      <c r="E391" s="1" t="s">
        <v>397</v>
      </c>
      <c r="F391" t="s">
        <v>4</v>
      </c>
      <c r="G391" t="str">
        <f>CONCATENATE(Tabela14[[#This Row],[Grupo]]," ",Tabela14[[#This Row],[Descrição]])</f>
        <v>ATADURA DE CREPE - HOSPITALAR 30CM x 1,20M</v>
      </c>
      <c r="H391" s="29">
        <v>11.2536</v>
      </c>
    </row>
    <row r="392" spans="1:8" ht="15.75" thickBot="1" x14ac:dyDescent="0.3">
      <c r="A392" s="7">
        <v>1611</v>
      </c>
      <c r="B392" s="7" t="s">
        <v>394</v>
      </c>
      <c r="C392" s="7" t="s">
        <v>385</v>
      </c>
      <c r="D392" s="7" t="s">
        <v>372</v>
      </c>
      <c r="E392" s="1" t="s">
        <v>398</v>
      </c>
      <c r="F392" t="s">
        <v>4</v>
      </c>
      <c r="G392" t="str">
        <f>CONCATENATE(Tabela14[[#This Row],[Grupo]]," ",Tabela14[[#This Row],[Descrição]])</f>
        <v>ATADURA DE CREPE - HOSPITALAR 10CM x 1,80M</v>
      </c>
      <c r="H392" s="29">
        <v>5.6268000000000002</v>
      </c>
    </row>
    <row r="393" spans="1:8" ht="15.75" thickBot="1" x14ac:dyDescent="0.3">
      <c r="A393" s="7">
        <v>1612</v>
      </c>
      <c r="B393" s="7" t="s">
        <v>394</v>
      </c>
      <c r="C393" s="7" t="s">
        <v>387</v>
      </c>
      <c r="D393" s="7" t="s">
        <v>372</v>
      </c>
      <c r="E393" s="1" t="s">
        <v>380</v>
      </c>
      <c r="F393" t="s">
        <v>4</v>
      </c>
      <c r="G393" t="str">
        <f>CONCATENATE(Tabela14[[#This Row],[Grupo]]," ",Tabela14[[#This Row],[Descrição]])</f>
        <v>ATADURA DE CREPE - HOSPITALAR 12CM x 1,80M</v>
      </c>
      <c r="H393" s="29">
        <v>7.1063999999999998</v>
      </c>
    </row>
    <row r="394" spans="1:8" ht="15.75" thickBot="1" x14ac:dyDescent="0.3">
      <c r="A394" s="7">
        <v>1613</v>
      </c>
      <c r="B394" s="7" t="s">
        <v>394</v>
      </c>
      <c r="C394" s="7" t="s">
        <v>388</v>
      </c>
      <c r="D394" s="7" t="s">
        <v>372</v>
      </c>
      <c r="E394" s="1" t="s">
        <v>391</v>
      </c>
      <c r="F394" t="s">
        <v>4</v>
      </c>
      <c r="G394" t="str">
        <f>CONCATENATE(Tabela14[[#This Row],[Grupo]]," ",Tabela14[[#This Row],[Descrição]])</f>
        <v>ATADURA DE CREPE - HOSPITALAR 15CM x 1,80M</v>
      </c>
      <c r="H394" s="29">
        <v>8.3160000000000007</v>
      </c>
    </row>
    <row r="395" spans="1:8" ht="15.75" thickBot="1" x14ac:dyDescent="0.3">
      <c r="A395" s="7">
        <v>1614</v>
      </c>
      <c r="B395" s="7" t="s">
        <v>394</v>
      </c>
      <c r="C395" s="7" t="s">
        <v>390</v>
      </c>
      <c r="D395" s="7" t="s">
        <v>372</v>
      </c>
      <c r="E395" s="1" t="s">
        <v>399</v>
      </c>
      <c r="F395" t="s">
        <v>4</v>
      </c>
      <c r="G395" t="str">
        <f>CONCATENATE(Tabela14[[#This Row],[Grupo]]," ",Tabela14[[#This Row],[Descrição]])</f>
        <v>ATADURA DE CREPE - HOSPITALAR 20CM x 1,80M</v>
      </c>
      <c r="H395" s="30">
        <v>10.789200000000001</v>
      </c>
    </row>
    <row r="396" spans="1:8" x14ac:dyDescent="0.25">
      <c r="A396" s="31">
        <v>1615</v>
      </c>
      <c r="B396" s="31" t="s">
        <v>394</v>
      </c>
      <c r="C396" s="31" t="s">
        <v>392</v>
      </c>
      <c r="D396" s="31" t="s">
        <v>372</v>
      </c>
      <c r="E396" s="32" t="s">
        <v>400</v>
      </c>
      <c r="F396" s="33" t="s">
        <v>4</v>
      </c>
      <c r="G396" t="str">
        <f>CONCATENATE(Tabela14[[#This Row],[Grupo]]," ",Tabela14[[#This Row],[Descrição]])</f>
        <v>ATADURA DE CREPE - HOSPITALAR 30CM x 1,80M</v>
      </c>
      <c r="H396" s="34">
        <v>15.444000000000001</v>
      </c>
    </row>
    <row r="397" spans="1:8" ht="15.75" thickBot="1" x14ac:dyDescent="0.3">
      <c r="A397" s="7">
        <v>1787</v>
      </c>
      <c r="B397" s="7" t="s">
        <v>370</v>
      </c>
      <c r="C397" s="7" t="s">
        <v>371</v>
      </c>
      <c r="D397" s="7" t="s">
        <v>372</v>
      </c>
      <c r="E397" s="1" t="s">
        <v>373</v>
      </c>
      <c r="F397" t="s">
        <v>417</v>
      </c>
      <c r="G397" t="str">
        <f>CONCATENATE(Tabela14[[#This Row],[Grupo]]," ",Tabela14[[#This Row],[Descrição]])</f>
        <v>ATADURA DE CREPE - FARMA 08CM x 1,20M</v>
      </c>
      <c r="H397" s="35">
        <v>4.6115999999999993</v>
      </c>
    </row>
    <row r="398" spans="1:8" ht="15.75" thickBot="1" x14ac:dyDescent="0.3">
      <c r="A398" s="7">
        <v>1656</v>
      </c>
      <c r="B398" s="7" t="s">
        <v>370</v>
      </c>
      <c r="C398" s="7" t="s">
        <v>374</v>
      </c>
      <c r="D398" s="7" t="s">
        <v>372</v>
      </c>
      <c r="E398" s="1" t="s">
        <v>375</v>
      </c>
      <c r="F398" t="s">
        <v>417</v>
      </c>
      <c r="G398" t="str">
        <f>CONCATENATE(Tabela14[[#This Row],[Grupo]]," ",Tabela14[[#This Row],[Descrição]])</f>
        <v>ATADURA DE CREPE - FARMA 10CM x 1,20M</v>
      </c>
      <c r="H398" s="35">
        <v>5.0111999999999997</v>
      </c>
    </row>
    <row r="399" spans="1:8" ht="15.75" thickBot="1" x14ac:dyDescent="0.3">
      <c r="A399" s="7">
        <v>1657</v>
      </c>
      <c r="B399" s="7" t="s">
        <v>370</v>
      </c>
      <c r="C399" s="7" t="s">
        <v>376</v>
      </c>
      <c r="D399" s="7" t="s">
        <v>372</v>
      </c>
      <c r="E399" s="1" t="s">
        <v>422</v>
      </c>
      <c r="F399" t="s">
        <v>417</v>
      </c>
      <c r="G399" t="str">
        <f>CONCATENATE(Tabela14[[#This Row],[Grupo]]," ",Tabela14[[#This Row],[Descrição]])</f>
        <v>ATADURA DE CREPE - FARMA 12CM x 1,20M</v>
      </c>
      <c r="H399" s="36">
        <v>6.1992000000000003</v>
      </c>
    </row>
    <row r="400" spans="1:8" ht="15.75" thickBot="1" x14ac:dyDescent="0.3">
      <c r="A400" s="7">
        <v>1658</v>
      </c>
      <c r="B400" s="7" t="s">
        <v>370</v>
      </c>
      <c r="C400" s="7" t="s">
        <v>377</v>
      </c>
      <c r="D400" s="7" t="s">
        <v>372</v>
      </c>
      <c r="E400" s="1" t="s">
        <v>423</v>
      </c>
      <c r="F400" t="s">
        <v>417</v>
      </c>
      <c r="G400" t="str">
        <f>CONCATENATE(Tabela14[[#This Row],[Grupo]]," ",Tabela14[[#This Row],[Descrição]])</f>
        <v>ATADURA DE CREPE - FARMA 15CM x 1,20M</v>
      </c>
      <c r="H400" s="36">
        <v>7.0956000000000001</v>
      </c>
    </row>
    <row r="401" spans="1:8" ht="15.75" thickBot="1" x14ac:dyDescent="0.3">
      <c r="A401" s="7">
        <v>1659</v>
      </c>
      <c r="B401" s="7" t="s">
        <v>370</v>
      </c>
      <c r="C401" s="7" t="s">
        <v>379</v>
      </c>
      <c r="D401" s="7" t="s">
        <v>372</v>
      </c>
      <c r="E401" s="1" t="s">
        <v>380</v>
      </c>
      <c r="F401" t="s">
        <v>417</v>
      </c>
      <c r="G401" t="str">
        <f>CONCATENATE(Tabela14[[#This Row],[Grupo]]," ",Tabela14[[#This Row],[Descrição]])</f>
        <v>ATADURA DE CREPE - FARMA 20CM x 1,20M</v>
      </c>
      <c r="H401" s="36">
        <v>9.1259999999999994</v>
      </c>
    </row>
    <row r="402" spans="1:8" ht="15.75" thickBot="1" x14ac:dyDescent="0.3">
      <c r="A402" s="7">
        <v>1660</v>
      </c>
      <c r="B402" s="7" t="s">
        <v>370</v>
      </c>
      <c r="C402" s="7" t="s">
        <v>381</v>
      </c>
      <c r="D402" s="7" t="s">
        <v>372</v>
      </c>
      <c r="E402" s="1" t="s">
        <v>424</v>
      </c>
      <c r="F402" t="s">
        <v>417</v>
      </c>
      <c r="G402" t="str">
        <f>CONCATENATE(Tabela14[[#This Row],[Grupo]]," ",Tabela14[[#This Row],[Descrição]])</f>
        <v>ATADURA DE CREPE - FARMA 30CM x 1,20M</v>
      </c>
      <c r="H402" s="36">
        <v>13.586399999999999</v>
      </c>
    </row>
    <row r="403" spans="1:8" ht="15.75" thickBot="1" x14ac:dyDescent="0.3">
      <c r="A403" s="7">
        <v>1974</v>
      </c>
      <c r="B403" s="7" t="s">
        <v>370</v>
      </c>
      <c r="C403" s="7" t="s">
        <v>383</v>
      </c>
      <c r="D403" s="7" t="s">
        <v>372</v>
      </c>
      <c r="E403" s="1" t="s">
        <v>425</v>
      </c>
      <c r="F403" t="s">
        <v>417</v>
      </c>
      <c r="G403" t="str">
        <f>CONCATENATE(Tabela14[[#This Row],[Grupo]]," ",Tabela14[[#This Row],[Descrição]])</f>
        <v>ATADURA DE CREPE - FARMA 08CM x 1,80M</v>
      </c>
      <c r="H403" s="36">
        <v>6.3720000000000008</v>
      </c>
    </row>
    <row r="404" spans="1:8" ht="15.75" thickBot="1" x14ac:dyDescent="0.3">
      <c r="A404" s="7">
        <v>1661</v>
      </c>
      <c r="B404" s="7" t="s">
        <v>370</v>
      </c>
      <c r="C404" s="7" t="s">
        <v>385</v>
      </c>
      <c r="D404" s="7" t="s">
        <v>372</v>
      </c>
      <c r="E404" s="1" t="s">
        <v>378</v>
      </c>
      <c r="F404" t="s">
        <v>417</v>
      </c>
      <c r="G404" t="str">
        <f>CONCATENATE(Tabela14[[#This Row],[Grupo]]," ",Tabela14[[#This Row],[Descrição]])</f>
        <v>ATADURA DE CREPE - FARMA 10CM x 1,80M</v>
      </c>
      <c r="H404" s="36">
        <v>6.9228000000000005</v>
      </c>
    </row>
    <row r="405" spans="1:8" ht="15.75" thickBot="1" x14ac:dyDescent="0.3">
      <c r="A405" s="7">
        <v>1662</v>
      </c>
      <c r="B405" s="7" t="s">
        <v>370</v>
      </c>
      <c r="C405" s="7" t="s">
        <v>387</v>
      </c>
      <c r="D405" s="7" t="s">
        <v>372</v>
      </c>
      <c r="E405" s="1" t="s">
        <v>423</v>
      </c>
      <c r="F405" t="s">
        <v>417</v>
      </c>
      <c r="G405" t="str">
        <f>CONCATENATE(Tabela14[[#This Row],[Grupo]]," ",Tabela14[[#This Row],[Descrição]])</f>
        <v>ATADURA DE CREPE - FARMA 12CM x 1,80M</v>
      </c>
      <c r="H405" s="36">
        <v>8.5535999999999994</v>
      </c>
    </row>
    <row r="406" spans="1:8" ht="15.75" thickBot="1" x14ac:dyDescent="0.3">
      <c r="A406" s="7">
        <v>1663</v>
      </c>
      <c r="B406" s="7" t="s">
        <v>370</v>
      </c>
      <c r="C406" s="7" t="s">
        <v>388</v>
      </c>
      <c r="D406" s="7" t="s">
        <v>372</v>
      </c>
      <c r="E406" s="1" t="s">
        <v>380</v>
      </c>
      <c r="F406" t="s">
        <v>417</v>
      </c>
      <c r="G406" t="str">
        <f>CONCATENATE(Tabela14[[#This Row],[Grupo]]," ",Tabela14[[#This Row],[Descrição]])</f>
        <v>ATADURA DE CREPE - FARMA 15CM x 1,80M</v>
      </c>
      <c r="H406" s="36">
        <v>10.119599999999998</v>
      </c>
    </row>
    <row r="407" spans="1:8" ht="15.75" thickBot="1" x14ac:dyDescent="0.3">
      <c r="A407" s="7">
        <v>1664</v>
      </c>
      <c r="B407" s="7" t="s">
        <v>370</v>
      </c>
      <c r="C407" s="7" t="s">
        <v>390</v>
      </c>
      <c r="D407" s="7" t="s">
        <v>372</v>
      </c>
      <c r="E407" s="1" t="s">
        <v>391</v>
      </c>
      <c r="F407" t="s">
        <v>417</v>
      </c>
      <c r="G407" t="str">
        <f>CONCATENATE(Tabela14[[#This Row],[Grupo]]," ",Tabela14[[#This Row],[Descrição]])</f>
        <v>ATADURA DE CREPE - FARMA 20CM x 1,80M</v>
      </c>
      <c r="H407" s="36">
        <v>12.9924</v>
      </c>
    </row>
    <row r="408" spans="1:8" x14ac:dyDescent="0.25">
      <c r="A408" s="7">
        <v>1665</v>
      </c>
      <c r="B408" s="7" t="s">
        <v>370</v>
      </c>
      <c r="C408" s="7" t="s">
        <v>392</v>
      </c>
      <c r="D408" s="7" t="s">
        <v>372</v>
      </c>
      <c r="E408" s="1" t="s">
        <v>426</v>
      </c>
      <c r="F408" t="s">
        <v>417</v>
      </c>
      <c r="G408" t="str">
        <f>CONCATENATE(Tabela14[[#This Row],[Grupo]]," ",Tabela14[[#This Row],[Descrição]])</f>
        <v>ATADURA DE CREPE - FARMA 30CM x 1,80M</v>
      </c>
      <c r="H408" s="37">
        <v>18.7272</v>
      </c>
    </row>
    <row r="409" spans="1:8" ht="15.75" thickBot="1" x14ac:dyDescent="0.3">
      <c r="A409" s="7">
        <v>1963</v>
      </c>
      <c r="B409" s="7" t="s">
        <v>394</v>
      </c>
      <c r="C409" s="7" t="s">
        <v>374</v>
      </c>
      <c r="D409" s="7" t="s">
        <v>372</v>
      </c>
      <c r="E409" s="1" t="s">
        <v>386</v>
      </c>
      <c r="F409" t="s">
        <v>417</v>
      </c>
      <c r="G409" t="str">
        <f>CONCATENATE(Tabela14[[#This Row],[Grupo]]," ",Tabela14[[#This Row],[Descrição]])</f>
        <v>ATADURA DE CREPE - HOSPITALAR 10CM x 1,20M</v>
      </c>
      <c r="H409" s="35">
        <v>4.8600000000000003</v>
      </c>
    </row>
    <row r="410" spans="1:8" ht="15.75" thickBot="1" x14ac:dyDescent="0.3">
      <c r="A410" s="7">
        <v>1964</v>
      </c>
      <c r="B410" s="7" t="s">
        <v>394</v>
      </c>
      <c r="C410" s="7" t="s">
        <v>376</v>
      </c>
      <c r="D410" s="7" t="s">
        <v>372</v>
      </c>
      <c r="E410" s="1" t="s">
        <v>378</v>
      </c>
      <c r="F410" t="s">
        <v>417</v>
      </c>
      <c r="G410" t="str">
        <f>CONCATENATE(Tabela14[[#This Row],[Grupo]]," ",Tabela14[[#This Row],[Descrição]])</f>
        <v>ATADURA DE CREPE - HOSPITALAR 12CM x 1,20M</v>
      </c>
      <c r="H410" s="36">
        <v>6.0156000000000001</v>
      </c>
    </row>
    <row r="411" spans="1:8" ht="15.75" thickBot="1" x14ac:dyDescent="0.3">
      <c r="A411" s="7">
        <v>1965</v>
      </c>
      <c r="B411" s="7" t="s">
        <v>394</v>
      </c>
      <c r="C411" s="7" t="s">
        <v>377</v>
      </c>
      <c r="D411" s="7" t="s">
        <v>372</v>
      </c>
      <c r="E411" s="1" t="s">
        <v>427</v>
      </c>
      <c r="F411" t="s">
        <v>417</v>
      </c>
      <c r="G411" t="str">
        <f>CONCATENATE(Tabela14[[#This Row],[Grupo]]," ",Tabela14[[#This Row],[Descrição]])</f>
        <v>ATADURA DE CREPE - HOSPITALAR 15CM x 1,20M</v>
      </c>
      <c r="H411" s="36">
        <v>6.8903999999999996</v>
      </c>
    </row>
    <row r="412" spans="1:8" ht="15.75" thickBot="1" x14ac:dyDescent="0.3">
      <c r="A412" s="7">
        <v>1966</v>
      </c>
      <c r="B412" s="7" t="s">
        <v>394</v>
      </c>
      <c r="C412" s="7" t="s">
        <v>379</v>
      </c>
      <c r="D412" s="7" t="s">
        <v>372</v>
      </c>
      <c r="E412" s="1" t="s">
        <v>428</v>
      </c>
      <c r="F412" t="s">
        <v>417</v>
      </c>
      <c r="G412" t="str">
        <f>CONCATENATE(Tabela14[[#This Row],[Grupo]]," ",Tabela14[[#This Row],[Descrição]])</f>
        <v>ATADURA DE CREPE - HOSPITALAR 20CM x 1,20M</v>
      </c>
      <c r="H412" s="36">
        <v>8.8452000000000002</v>
      </c>
    </row>
    <row r="413" spans="1:8" ht="15.75" thickBot="1" x14ac:dyDescent="0.3">
      <c r="A413" s="7">
        <v>1967</v>
      </c>
      <c r="B413" s="7" t="s">
        <v>394</v>
      </c>
      <c r="C413" s="7" t="s">
        <v>381</v>
      </c>
      <c r="D413" s="7" t="s">
        <v>372</v>
      </c>
      <c r="E413" s="1" t="s">
        <v>429</v>
      </c>
      <c r="F413" t="s">
        <v>417</v>
      </c>
      <c r="G413" t="str">
        <f>CONCATENATE(Tabela14[[#This Row],[Grupo]]," ",Tabela14[[#This Row],[Descrição]])</f>
        <v>ATADURA DE CREPE - HOSPITALAR 30CM x 1,20M</v>
      </c>
      <c r="H413" s="36">
        <v>13.186800000000002</v>
      </c>
    </row>
    <row r="414" spans="1:8" ht="15.75" thickBot="1" x14ac:dyDescent="0.3">
      <c r="A414" s="7">
        <v>1968</v>
      </c>
      <c r="B414" s="7" t="s">
        <v>394</v>
      </c>
      <c r="C414" s="7" t="s">
        <v>385</v>
      </c>
      <c r="D414" s="7" t="s">
        <v>372</v>
      </c>
      <c r="E414" s="1" t="s">
        <v>430</v>
      </c>
      <c r="F414" t="s">
        <v>417</v>
      </c>
      <c r="G414" t="str">
        <f>CONCATENATE(Tabela14[[#This Row],[Grupo]]," ",Tabela14[[#This Row],[Descrição]])</f>
        <v>ATADURA DE CREPE - HOSPITALAR 10CM x 1,80M</v>
      </c>
      <c r="H414" s="36">
        <v>6.7284000000000006</v>
      </c>
    </row>
    <row r="415" spans="1:8" ht="15.75" thickBot="1" x14ac:dyDescent="0.3">
      <c r="A415" s="7">
        <v>1969</v>
      </c>
      <c r="B415" s="7" t="s">
        <v>394</v>
      </c>
      <c r="C415" s="7" t="s">
        <v>387</v>
      </c>
      <c r="D415" s="7" t="s">
        <v>372</v>
      </c>
      <c r="E415" s="1" t="s">
        <v>391</v>
      </c>
      <c r="F415" t="s">
        <v>417</v>
      </c>
      <c r="G415" t="str">
        <f>CONCATENATE(Tabela14[[#This Row],[Grupo]]," ",Tabela14[[#This Row],[Descrição]])</f>
        <v>ATADURA DE CREPE - HOSPITALAR 12CM x 1,80M</v>
      </c>
      <c r="H415" s="36">
        <v>8.2835999999999999</v>
      </c>
    </row>
    <row r="416" spans="1:8" ht="15.75" thickBot="1" x14ac:dyDescent="0.3">
      <c r="A416" s="7">
        <v>1970</v>
      </c>
      <c r="B416" s="7" t="s">
        <v>394</v>
      </c>
      <c r="C416" s="7" t="s">
        <v>388</v>
      </c>
      <c r="D416" s="7" t="s">
        <v>372</v>
      </c>
      <c r="E416" s="1" t="s">
        <v>428</v>
      </c>
      <c r="F416" t="s">
        <v>417</v>
      </c>
      <c r="G416" t="str">
        <f>CONCATENATE(Tabela14[[#This Row],[Grupo]]," ",Tabela14[[#This Row],[Descrição]])</f>
        <v>ATADURA DE CREPE - HOSPITALAR 15CM x 1,80M</v>
      </c>
      <c r="H416" s="36">
        <v>9.8064</v>
      </c>
    </row>
    <row r="417" spans="1:8" ht="15.75" thickBot="1" x14ac:dyDescent="0.3">
      <c r="A417" s="7">
        <v>1971</v>
      </c>
      <c r="B417" s="7" t="s">
        <v>394</v>
      </c>
      <c r="C417" s="7" t="s">
        <v>390</v>
      </c>
      <c r="D417" s="7" t="s">
        <v>372</v>
      </c>
      <c r="E417" s="1" t="s">
        <v>431</v>
      </c>
      <c r="F417" t="s">
        <v>417</v>
      </c>
      <c r="G417" t="str">
        <f>CONCATENATE(Tabela14[[#This Row],[Grupo]]," ",Tabela14[[#This Row],[Descrição]])</f>
        <v>ATADURA DE CREPE - HOSPITALAR 20CM x 1,80M</v>
      </c>
      <c r="H417" s="36">
        <v>12.6036</v>
      </c>
    </row>
    <row r="418" spans="1:8" x14ac:dyDescent="0.25">
      <c r="A418" s="31">
        <v>1972</v>
      </c>
      <c r="B418" s="31" t="s">
        <v>394</v>
      </c>
      <c r="C418" s="31" t="s">
        <v>392</v>
      </c>
      <c r="D418" s="31" t="s">
        <v>372</v>
      </c>
      <c r="E418" s="32" t="s">
        <v>432</v>
      </c>
      <c r="F418" s="33" t="s">
        <v>417</v>
      </c>
      <c r="G418" t="str">
        <f>CONCATENATE(Tabela14[[#This Row],[Grupo]]," ",Tabela14[[#This Row],[Descrição]])</f>
        <v>ATADURA DE CREPE - HOSPITALAR 30CM x 1,80M</v>
      </c>
      <c r="H418" s="37">
        <v>18.176399999999997</v>
      </c>
    </row>
    <row r="419" spans="1:8" x14ac:dyDescent="0.25">
      <c r="A419" s="7">
        <v>1974</v>
      </c>
      <c r="B419" s="7" t="s">
        <v>370</v>
      </c>
      <c r="C419" s="7" t="s">
        <v>383</v>
      </c>
      <c r="D419" s="7" t="s">
        <v>372</v>
      </c>
      <c r="E419" s="1" t="s">
        <v>425</v>
      </c>
      <c r="F419" t="s">
        <v>411</v>
      </c>
      <c r="G419" t="str">
        <f>CONCATENATE(Tabela14[[#This Row],[Grupo]]," ",Tabela14[[#This Row],[Descrição]])</f>
        <v>ATADURA DE CREPE - FARMA 08CM x 1,80M</v>
      </c>
      <c r="H419" s="2">
        <v>6.37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4AB-9A55-4EC9-AE95-8A590DAFD95F}">
  <dimension ref="A1:H87"/>
  <sheetViews>
    <sheetView zoomScaleNormal="100" workbookViewId="0">
      <selection activeCell="H33" sqref="H33"/>
    </sheetView>
  </sheetViews>
  <sheetFormatPr defaultColWidth="28.7109375" defaultRowHeight="15" x14ac:dyDescent="0.25"/>
  <cols>
    <col min="1" max="1" width="6.7109375" bestFit="1" customWidth="1"/>
    <col min="2" max="2" width="41.85546875" bestFit="1" customWidth="1"/>
    <col min="3" max="3" width="23.140625" bestFit="1" customWidth="1"/>
    <col min="4" max="4" width="7.42578125" bestFit="1" customWidth="1"/>
    <col min="5" max="5" width="13.28515625" bestFit="1" customWidth="1"/>
    <col min="6" max="6" width="10.7109375" bestFit="1" customWidth="1"/>
    <col min="7" max="7" width="9.85546875" bestFit="1" customWidth="1"/>
    <col min="8" max="8" width="8.28515625" bestFit="1" customWidth="1"/>
  </cols>
  <sheetData>
    <row r="1" spans="1:8" x14ac:dyDescent="0.25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1</v>
      </c>
      <c r="G1" t="s">
        <v>438</v>
      </c>
      <c r="H1" t="s">
        <v>439</v>
      </c>
    </row>
    <row r="2" spans="1:8" ht="15.75" thickBot="1" x14ac:dyDescent="0.3">
      <c r="A2">
        <v>8</v>
      </c>
      <c r="B2" t="s">
        <v>343</v>
      </c>
      <c r="C2" t="s">
        <v>344</v>
      </c>
      <c r="D2" t="s">
        <v>345</v>
      </c>
      <c r="E2">
        <v>72</v>
      </c>
      <c r="F2" t="s">
        <v>4</v>
      </c>
      <c r="G2" t="s">
        <v>346</v>
      </c>
      <c r="H2" s="15">
        <v>6.99</v>
      </c>
    </row>
    <row r="3" spans="1:8" ht="15.75" thickBot="1" x14ac:dyDescent="0.3">
      <c r="A3">
        <v>310</v>
      </c>
      <c r="B3" t="s">
        <v>343</v>
      </c>
      <c r="C3" t="s">
        <v>344</v>
      </c>
      <c r="D3" t="s">
        <v>347</v>
      </c>
      <c r="E3">
        <v>60</v>
      </c>
      <c r="F3" t="s">
        <v>4</v>
      </c>
      <c r="G3" t="s">
        <v>348</v>
      </c>
      <c r="H3" s="15">
        <v>9.74</v>
      </c>
    </row>
    <row r="4" spans="1:8" ht="15.75" thickBot="1" x14ac:dyDescent="0.3">
      <c r="A4">
        <v>326</v>
      </c>
      <c r="B4" t="s">
        <v>343</v>
      </c>
      <c r="C4" t="s">
        <v>344</v>
      </c>
      <c r="D4" t="s">
        <v>349</v>
      </c>
      <c r="E4">
        <v>50</v>
      </c>
      <c r="F4" t="s">
        <v>4</v>
      </c>
      <c r="G4" t="s">
        <v>350</v>
      </c>
      <c r="H4" s="15">
        <v>11.85</v>
      </c>
    </row>
    <row r="5" spans="1:8" ht="15.75" thickBot="1" x14ac:dyDescent="0.3">
      <c r="A5">
        <v>13</v>
      </c>
      <c r="B5" t="s">
        <v>343</v>
      </c>
      <c r="C5" t="s">
        <v>344</v>
      </c>
      <c r="D5" t="s">
        <v>345</v>
      </c>
      <c r="E5">
        <v>50</v>
      </c>
      <c r="F5" t="s">
        <v>4</v>
      </c>
      <c r="G5" t="s">
        <v>350</v>
      </c>
      <c r="H5" s="15">
        <v>10.88</v>
      </c>
    </row>
    <row r="6" spans="1:8" ht="15.75" thickBot="1" x14ac:dyDescent="0.3">
      <c r="A6">
        <v>313</v>
      </c>
      <c r="B6" t="s">
        <v>343</v>
      </c>
      <c r="C6" t="s">
        <v>344</v>
      </c>
      <c r="D6" t="s">
        <v>347</v>
      </c>
      <c r="E6">
        <v>50</v>
      </c>
      <c r="F6" t="s">
        <v>4</v>
      </c>
      <c r="G6" t="s">
        <v>351</v>
      </c>
      <c r="H6" s="15">
        <v>11.98</v>
      </c>
    </row>
    <row r="7" spans="1:8" x14ac:dyDescent="0.25">
      <c r="A7">
        <v>329</v>
      </c>
      <c r="B7" t="s">
        <v>343</v>
      </c>
      <c r="C7" t="s">
        <v>344</v>
      </c>
      <c r="D7" t="s">
        <v>349</v>
      </c>
      <c r="E7">
        <v>50</v>
      </c>
      <c r="F7" t="s">
        <v>4</v>
      </c>
      <c r="G7" t="s">
        <v>352</v>
      </c>
      <c r="H7" s="27">
        <v>14.22</v>
      </c>
    </row>
    <row r="8" spans="1:8" ht="15.75" thickBot="1" x14ac:dyDescent="0.3">
      <c r="A8">
        <v>85</v>
      </c>
      <c r="B8" t="s">
        <v>353</v>
      </c>
      <c r="C8" t="s">
        <v>354</v>
      </c>
      <c r="D8" t="s">
        <v>345</v>
      </c>
      <c r="E8">
        <v>36</v>
      </c>
      <c r="F8" t="s">
        <v>4</v>
      </c>
      <c r="G8" t="s">
        <v>355</v>
      </c>
      <c r="H8" s="15">
        <v>15.44</v>
      </c>
    </row>
    <row r="9" spans="1:8" ht="15.75" thickBot="1" x14ac:dyDescent="0.3">
      <c r="A9">
        <v>263</v>
      </c>
      <c r="B9" t="s">
        <v>353</v>
      </c>
      <c r="C9" t="s">
        <v>354</v>
      </c>
      <c r="D9" t="s">
        <v>347</v>
      </c>
      <c r="E9">
        <v>30</v>
      </c>
      <c r="F9" t="s">
        <v>4</v>
      </c>
      <c r="G9" t="s">
        <v>356</v>
      </c>
      <c r="H9" s="15">
        <v>18.86</v>
      </c>
    </row>
    <row r="10" spans="1:8" ht="15.75" thickBot="1" x14ac:dyDescent="0.3">
      <c r="A10">
        <v>279</v>
      </c>
      <c r="B10" t="s">
        <v>353</v>
      </c>
      <c r="C10" t="s">
        <v>354</v>
      </c>
      <c r="D10" t="s">
        <v>349</v>
      </c>
      <c r="E10">
        <v>30</v>
      </c>
      <c r="F10" t="s">
        <v>4</v>
      </c>
      <c r="G10" t="s">
        <v>357</v>
      </c>
      <c r="H10" s="15">
        <v>19.88</v>
      </c>
    </row>
    <row r="11" spans="1:8" ht="15.75" thickBot="1" x14ac:dyDescent="0.3">
      <c r="A11">
        <v>94</v>
      </c>
      <c r="B11" t="s">
        <v>353</v>
      </c>
      <c r="C11" t="s">
        <v>354</v>
      </c>
      <c r="D11" t="s">
        <v>345</v>
      </c>
      <c r="E11">
        <v>30</v>
      </c>
      <c r="F11" t="s">
        <v>4</v>
      </c>
      <c r="G11" t="s">
        <v>358</v>
      </c>
      <c r="H11" s="15">
        <v>22.8</v>
      </c>
    </row>
    <row r="12" spans="1:8" ht="15.75" thickBot="1" x14ac:dyDescent="0.3">
      <c r="A12">
        <v>271</v>
      </c>
      <c r="B12" t="s">
        <v>353</v>
      </c>
      <c r="C12" t="s">
        <v>354</v>
      </c>
      <c r="D12" t="s">
        <v>347</v>
      </c>
      <c r="E12">
        <v>25</v>
      </c>
      <c r="F12" t="s">
        <v>4</v>
      </c>
      <c r="G12" t="s">
        <v>359</v>
      </c>
      <c r="H12" s="15">
        <v>24.86</v>
      </c>
    </row>
    <row r="13" spans="1:8" ht="15.75" thickBot="1" x14ac:dyDescent="0.3">
      <c r="A13">
        <v>286</v>
      </c>
      <c r="B13" t="s">
        <v>353</v>
      </c>
      <c r="C13" t="s">
        <v>354</v>
      </c>
      <c r="D13" t="s">
        <v>349</v>
      </c>
      <c r="E13">
        <v>25</v>
      </c>
      <c r="F13" t="s">
        <v>4</v>
      </c>
      <c r="G13" t="s">
        <v>360</v>
      </c>
      <c r="H13" s="15">
        <v>26.86</v>
      </c>
    </row>
    <row r="14" spans="1:8" ht="15.75" thickBot="1" x14ac:dyDescent="0.3">
      <c r="A14">
        <v>1</v>
      </c>
      <c r="B14" t="s">
        <v>361</v>
      </c>
      <c r="C14" t="s">
        <v>344</v>
      </c>
      <c r="D14" t="s">
        <v>345</v>
      </c>
      <c r="E14">
        <v>1000</v>
      </c>
      <c r="F14" t="s">
        <v>4</v>
      </c>
      <c r="H14" s="20">
        <v>0.41039999999999999</v>
      </c>
    </row>
    <row r="15" spans="1:8" ht="15.75" thickBot="1" x14ac:dyDescent="0.3">
      <c r="A15">
        <v>2</v>
      </c>
      <c r="B15" t="s">
        <v>362</v>
      </c>
      <c r="C15" t="s">
        <v>344</v>
      </c>
      <c r="D15" t="s">
        <v>347</v>
      </c>
      <c r="E15">
        <v>1000</v>
      </c>
      <c r="F15" t="s">
        <v>4</v>
      </c>
      <c r="H15" s="17">
        <v>0.43200000000000005</v>
      </c>
    </row>
    <row r="16" spans="1:8" x14ac:dyDescent="0.25">
      <c r="A16">
        <v>3</v>
      </c>
      <c r="B16" t="s">
        <v>363</v>
      </c>
      <c r="C16" t="s">
        <v>344</v>
      </c>
      <c r="D16" t="s">
        <v>349</v>
      </c>
      <c r="E16">
        <v>1000</v>
      </c>
      <c r="F16" t="s">
        <v>4</v>
      </c>
      <c r="H16" s="16">
        <v>0.4536</v>
      </c>
    </row>
    <row r="17" spans="1:8" ht="15.75" thickBot="1" x14ac:dyDescent="0.3">
      <c r="A17">
        <v>1586</v>
      </c>
      <c r="B17" t="s">
        <v>364</v>
      </c>
      <c r="C17" t="s">
        <v>365</v>
      </c>
      <c r="E17">
        <v>12</v>
      </c>
      <c r="F17" t="s">
        <v>4</v>
      </c>
      <c r="H17" s="26">
        <v>49.5</v>
      </c>
    </row>
    <row r="18" spans="1:8" ht="15.75" thickBot="1" x14ac:dyDescent="0.3">
      <c r="A18">
        <v>1797</v>
      </c>
      <c r="B18" t="s">
        <v>366</v>
      </c>
      <c r="C18" t="s">
        <v>365</v>
      </c>
      <c r="E18">
        <v>12</v>
      </c>
      <c r="F18" t="s">
        <v>4</v>
      </c>
      <c r="H18" s="26">
        <v>48.5</v>
      </c>
    </row>
    <row r="19" spans="1:8" ht="15.75" thickBot="1" x14ac:dyDescent="0.3">
      <c r="A19">
        <v>1588</v>
      </c>
      <c r="B19" t="s">
        <v>367</v>
      </c>
      <c r="C19" t="s">
        <v>368</v>
      </c>
      <c r="E19">
        <v>150</v>
      </c>
      <c r="F19" t="s">
        <v>4</v>
      </c>
      <c r="H19" s="15">
        <v>5.3353999999999999</v>
      </c>
    </row>
    <row r="20" spans="1:8" x14ac:dyDescent="0.25">
      <c r="A20">
        <v>1587</v>
      </c>
      <c r="B20" t="s">
        <v>367</v>
      </c>
      <c r="C20" t="s">
        <v>369</v>
      </c>
      <c r="E20">
        <v>300</v>
      </c>
      <c r="F20" t="s">
        <v>4</v>
      </c>
      <c r="H20" s="14">
        <v>2.8839999999999999</v>
      </c>
    </row>
    <row r="21" spans="1:8" x14ac:dyDescent="0.25">
      <c r="A21">
        <v>1644</v>
      </c>
      <c r="B21" t="s">
        <v>370</v>
      </c>
      <c r="C21" t="s">
        <v>371</v>
      </c>
      <c r="D21" t="s">
        <v>372</v>
      </c>
      <c r="E21" t="s">
        <v>373</v>
      </c>
      <c r="F21" t="s">
        <v>4</v>
      </c>
      <c r="H21" s="25">
        <v>3.9528000000000003</v>
      </c>
    </row>
    <row r="22" spans="1:8" ht="15.75" thickBot="1" x14ac:dyDescent="0.3">
      <c r="A22">
        <v>1589</v>
      </c>
      <c r="B22" t="s">
        <v>370</v>
      </c>
      <c r="C22" t="s">
        <v>374</v>
      </c>
      <c r="D22" t="s">
        <v>372</v>
      </c>
      <c r="E22" t="s">
        <v>375</v>
      </c>
      <c r="F22" t="s">
        <v>4</v>
      </c>
      <c r="H22" s="21">
        <v>4.2876000000000003</v>
      </c>
    </row>
    <row r="23" spans="1:8" ht="15.75" thickBot="1" x14ac:dyDescent="0.3">
      <c r="A23">
        <v>1590</v>
      </c>
      <c r="B23" t="s">
        <v>370</v>
      </c>
      <c r="C23" t="s">
        <v>376</v>
      </c>
      <c r="D23" t="s">
        <v>372</v>
      </c>
      <c r="E23" t="s">
        <v>375</v>
      </c>
      <c r="F23" t="s">
        <v>4</v>
      </c>
      <c r="H23" s="23">
        <v>5.3028000000000004</v>
      </c>
    </row>
    <row r="24" spans="1:8" ht="15.75" thickBot="1" x14ac:dyDescent="0.3">
      <c r="A24">
        <v>1592</v>
      </c>
      <c r="B24" t="s">
        <v>370</v>
      </c>
      <c r="C24" t="s">
        <v>377</v>
      </c>
      <c r="D24" t="s">
        <v>372</v>
      </c>
      <c r="E24" t="s">
        <v>378</v>
      </c>
      <c r="F24" t="s">
        <v>4</v>
      </c>
      <c r="H24" s="23">
        <v>6.0804</v>
      </c>
    </row>
    <row r="25" spans="1:8" ht="15.75" thickBot="1" x14ac:dyDescent="0.3">
      <c r="A25">
        <v>1593</v>
      </c>
      <c r="B25" t="s">
        <v>370</v>
      </c>
      <c r="C25" t="s">
        <v>379</v>
      </c>
      <c r="D25" t="s">
        <v>372</v>
      </c>
      <c r="E25" t="s">
        <v>380</v>
      </c>
      <c r="F25" t="s">
        <v>4</v>
      </c>
      <c r="H25" s="23">
        <v>7.83</v>
      </c>
    </row>
    <row r="26" spans="1:8" ht="15.75" thickBot="1" x14ac:dyDescent="0.3">
      <c r="A26">
        <v>1594</v>
      </c>
      <c r="B26" t="s">
        <v>370</v>
      </c>
      <c r="C26" t="s">
        <v>381</v>
      </c>
      <c r="D26" t="s">
        <v>372</v>
      </c>
      <c r="E26" t="s">
        <v>382</v>
      </c>
      <c r="F26" t="s">
        <v>4</v>
      </c>
      <c r="H26" s="23">
        <v>11.5992</v>
      </c>
    </row>
    <row r="27" spans="1:8" x14ac:dyDescent="0.25">
      <c r="A27">
        <v>1973</v>
      </c>
      <c r="B27" t="s">
        <v>370</v>
      </c>
      <c r="C27" t="s">
        <v>383</v>
      </c>
      <c r="D27" t="s">
        <v>372</v>
      </c>
      <c r="E27" t="s">
        <v>384</v>
      </c>
      <c r="F27" t="s">
        <v>4</v>
      </c>
      <c r="H27" s="24">
        <v>5.3567999999999998</v>
      </c>
    </row>
    <row r="28" spans="1:8" ht="15.75" thickBot="1" x14ac:dyDescent="0.3">
      <c r="A28">
        <v>1595</v>
      </c>
      <c r="B28" t="s">
        <v>370</v>
      </c>
      <c r="C28" t="s">
        <v>385</v>
      </c>
      <c r="D28" t="s">
        <v>372</v>
      </c>
      <c r="E28" t="s">
        <v>386</v>
      </c>
      <c r="F28" t="s">
        <v>4</v>
      </c>
      <c r="H28" s="23">
        <v>5.8103999999999996</v>
      </c>
    </row>
    <row r="29" spans="1:8" ht="15.75" thickBot="1" x14ac:dyDescent="0.3">
      <c r="A29">
        <v>1596</v>
      </c>
      <c r="B29" t="s">
        <v>370</v>
      </c>
      <c r="C29" t="s">
        <v>387</v>
      </c>
      <c r="D29" t="s">
        <v>372</v>
      </c>
      <c r="E29" t="s">
        <v>378</v>
      </c>
      <c r="F29" t="s">
        <v>4</v>
      </c>
      <c r="H29" s="23">
        <v>7.3224</v>
      </c>
    </row>
    <row r="30" spans="1:8" ht="15.75" thickBot="1" x14ac:dyDescent="0.3">
      <c r="A30">
        <v>1597</v>
      </c>
      <c r="B30" t="s">
        <v>370</v>
      </c>
      <c r="C30" t="s">
        <v>388</v>
      </c>
      <c r="D30" t="s">
        <v>372</v>
      </c>
      <c r="E30" t="s">
        <v>389</v>
      </c>
      <c r="F30" t="s">
        <v>4</v>
      </c>
      <c r="H30" s="23">
        <v>8.5752000000000006</v>
      </c>
    </row>
    <row r="31" spans="1:8" ht="15.75" thickBot="1" x14ac:dyDescent="0.3">
      <c r="A31">
        <v>1598</v>
      </c>
      <c r="B31" t="s">
        <v>370</v>
      </c>
      <c r="C31" t="s">
        <v>390</v>
      </c>
      <c r="D31" t="s">
        <v>372</v>
      </c>
      <c r="E31" t="s">
        <v>391</v>
      </c>
      <c r="F31" t="s">
        <v>4</v>
      </c>
      <c r="H31" s="22">
        <v>11.124000000000001</v>
      </c>
    </row>
    <row r="32" spans="1:8" ht="15.75" thickBot="1" x14ac:dyDescent="0.3">
      <c r="A32">
        <v>1599</v>
      </c>
      <c r="B32" t="s">
        <v>370</v>
      </c>
      <c r="C32" t="s">
        <v>392</v>
      </c>
      <c r="D32" t="s">
        <v>372</v>
      </c>
      <c r="E32" t="s">
        <v>393</v>
      </c>
      <c r="F32" t="s">
        <v>4</v>
      </c>
      <c r="H32" s="21">
        <v>15.9192</v>
      </c>
    </row>
    <row r="33" spans="1:8" ht="15.75" thickBot="1" x14ac:dyDescent="0.3">
      <c r="A33">
        <v>1616</v>
      </c>
      <c r="B33" t="s">
        <v>394</v>
      </c>
      <c r="C33" t="s">
        <v>374</v>
      </c>
      <c r="D33" t="s">
        <v>372</v>
      </c>
      <c r="E33" t="s">
        <v>375</v>
      </c>
      <c r="F33" t="s">
        <v>4</v>
      </c>
      <c r="H33" s="23">
        <v>4.1580000000000004</v>
      </c>
    </row>
    <row r="34" spans="1:8" ht="15.75" thickBot="1" x14ac:dyDescent="0.3">
      <c r="A34">
        <v>1617</v>
      </c>
      <c r="B34" t="s">
        <v>394</v>
      </c>
      <c r="C34" t="s">
        <v>376</v>
      </c>
      <c r="D34" t="s">
        <v>372</v>
      </c>
      <c r="E34" t="s">
        <v>395</v>
      </c>
      <c r="F34" t="s">
        <v>4</v>
      </c>
      <c r="H34" s="23">
        <v>5.1407999999999996</v>
      </c>
    </row>
    <row r="35" spans="1:8" ht="15.75" thickBot="1" x14ac:dyDescent="0.3">
      <c r="A35">
        <v>1618</v>
      </c>
      <c r="B35" t="s">
        <v>394</v>
      </c>
      <c r="C35" t="s">
        <v>377</v>
      </c>
      <c r="D35" t="s">
        <v>372</v>
      </c>
      <c r="E35" t="s">
        <v>380</v>
      </c>
      <c r="F35" t="s">
        <v>4</v>
      </c>
      <c r="H35" s="23">
        <v>5.9075999999999995</v>
      </c>
    </row>
    <row r="36" spans="1:8" ht="15.75" thickBot="1" x14ac:dyDescent="0.3">
      <c r="A36">
        <v>1619</v>
      </c>
      <c r="B36" t="s">
        <v>394</v>
      </c>
      <c r="C36" t="s">
        <v>379</v>
      </c>
      <c r="D36" t="s">
        <v>372</v>
      </c>
      <c r="E36" t="s">
        <v>396</v>
      </c>
      <c r="F36" t="s">
        <v>4</v>
      </c>
      <c r="H36" s="23">
        <v>7.5924000000000005</v>
      </c>
    </row>
    <row r="37" spans="1:8" ht="15.75" thickBot="1" x14ac:dyDescent="0.3">
      <c r="A37">
        <v>1620</v>
      </c>
      <c r="B37" t="s">
        <v>394</v>
      </c>
      <c r="C37" t="s">
        <v>381</v>
      </c>
      <c r="D37" t="s">
        <v>372</v>
      </c>
      <c r="E37" t="s">
        <v>397</v>
      </c>
      <c r="F37" t="s">
        <v>4</v>
      </c>
      <c r="H37" s="23">
        <v>11.2536</v>
      </c>
    </row>
    <row r="38" spans="1:8" ht="15.75" thickBot="1" x14ac:dyDescent="0.3">
      <c r="A38">
        <v>1611</v>
      </c>
      <c r="B38" t="s">
        <v>394</v>
      </c>
      <c r="C38" t="s">
        <v>385</v>
      </c>
      <c r="D38" t="s">
        <v>372</v>
      </c>
      <c r="E38" t="s">
        <v>398</v>
      </c>
      <c r="F38" t="s">
        <v>4</v>
      </c>
      <c r="H38" s="23">
        <v>5.6268000000000002</v>
      </c>
    </row>
    <row r="39" spans="1:8" ht="15.75" thickBot="1" x14ac:dyDescent="0.3">
      <c r="A39">
        <v>1612</v>
      </c>
      <c r="B39" t="s">
        <v>394</v>
      </c>
      <c r="C39" t="s">
        <v>387</v>
      </c>
      <c r="D39" t="s">
        <v>372</v>
      </c>
      <c r="E39" t="s">
        <v>380</v>
      </c>
      <c r="F39" t="s">
        <v>4</v>
      </c>
      <c r="H39" s="23">
        <v>7.1063999999999998</v>
      </c>
    </row>
    <row r="40" spans="1:8" ht="15.75" thickBot="1" x14ac:dyDescent="0.3">
      <c r="A40">
        <v>1613</v>
      </c>
      <c r="B40" t="s">
        <v>394</v>
      </c>
      <c r="C40" t="s">
        <v>388</v>
      </c>
      <c r="D40" t="s">
        <v>372</v>
      </c>
      <c r="E40" t="s">
        <v>391</v>
      </c>
      <c r="F40" t="s">
        <v>4</v>
      </c>
      <c r="H40" s="23">
        <v>8.3160000000000007</v>
      </c>
    </row>
    <row r="41" spans="1:8" ht="15.75" thickBot="1" x14ac:dyDescent="0.3">
      <c r="A41">
        <v>1614</v>
      </c>
      <c r="B41" t="s">
        <v>394</v>
      </c>
      <c r="C41" t="s">
        <v>390</v>
      </c>
      <c r="D41" t="s">
        <v>372</v>
      </c>
      <c r="E41" t="s">
        <v>399</v>
      </c>
      <c r="F41" t="s">
        <v>4</v>
      </c>
      <c r="H41" s="22">
        <v>10.789200000000001</v>
      </c>
    </row>
    <row r="42" spans="1:8" ht="15.75" thickBot="1" x14ac:dyDescent="0.3">
      <c r="A42">
        <v>1615</v>
      </c>
      <c r="B42" t="s">
        <v>394</v>
      </c>
      <c r="C42" t="s">
        <v>392</v>
      </c>
      <c r="D42" t="s">
        <v>372</v>
      </c>
      <c r="E42" t="s">
        <v>400</v>
      </c>
      <c r="F42" t="s">
        <v>4</v>
      </c>
      <c r="H42" s="21">
        <v>15.444000000000001</v>
      </c>
    </row>
    <row r="43" spans="1:8" ht="15.75" thickBot="1" x14ac:dyDescent="0.3">
      <c r="A43">
        <v>51</v>
      </c>
      <c r="B43" t="s">
        <v>343</v>
      </c>
      <c r="C43" t="s">
        <v>401</v>
      </c>
      <c r="D43" t="s">
        <v>345</v>
      </c>
      <c r="E43">
        <v>40</v>
      </c>
      <c r="F43" t="s">
        <v>402</v>
      </c>
      <c r="G43" t="s">
        <v>403</v>
      </c>
      <c r="H43" s="15">
        <v>14.46</v>
      </c>
    </row>
    <row r="44" spans="1:8" ht="15.75" thickBot="1" x14ac:dyDescent="0.3">
      <c r="A44">
        <v>339</v>
      </c>
      <c r="B44" t="s">
        <v>343</v>
      </c>
      <c r="C44" t="s">
        <v>401</v>
      </c>
      <c r="D44" t="s">
        <v>347</v>
      </c>
      <c r="E44">
        <v>32</v>
      </c>
      <c r="F44" t="s">
        <v>402</v>
      </c>
      <c r="G44" t="s">
        <v>403</v>
      </c>
      <c r="H44" s="15">
        <v>16.579999999999998</v>
      </c>
    </row>
    <row r="45" spans="1:8" x14ac:dyDescent="0.25">
      <c r="A45">
        <v>349</v>
      </c>
      <c r="B45" t="s">
        <v>343</v>
      </c>
      <c r="C45" t="s">
        <v>401</v>
      </c>
      <c r="D45" t="s">
        <v>349</v>
      </c>
      <c r="E45">
        <v>32</v>
      </c>
      <c r="F45" t="s">
        <v>402</v>
      </c>
      <c r="G45" t="s">
        <v>403</v>
      </c>
      <c r="H45" s="14">
        <v>19.22</v>
      </c>
    </row>
    <row r="46" spans="1:8" ht="15.75" thickBot="1" x14ac:dyDescent="0.3">
      <c r="A46">
        <v>132</v>
      </c>
      <c r="B46" t="s">
        <v>353</v>
      </c>
      <c r="C46" t="s">
        <v>354</v>
      </c>
      <c r="D46" t="s">
        <v>345</v>
      </c>
      <c r="E46">
        <v>20</v>
      </c>
      <c r="F46" t="s">
        <v>402</v>
      </c>
      <c r="G46" t="s">
        <v>404</v>
      </c>
      <c r="H46" s="15">
        <v>29.67</v>
      </c>
    </row>
    <row r="47" spans="1:8" ht="15.75" thickBot="1" x14ac:dyDescent="0.3">
      <c r="A47">
        <v>294</v>
      </c>
      <c r="B47" t="s">
        <v>353</v>
      </c>
      <c r="C47" t="s">
        <v>354</v>
      </c>
      <c r="D47" t="s">
        <v>347</v>
      </c>
      <c r="E47">
        <v>20</v>
      </c>
      <c r="F47" t="s">
        <v>402</v>
      </c>
      <c r="G47" t="s">
        <v>405</v>
      </c>
      <c r="H47" s="15">
        <v>30.58</v>
      </c>
    </row>
    <row r="48" spans="1:8" ht="15.75" thickBot="1" x14ac:dyDescent="0.3">
      <c r="A48">
        <v>300</v>
      </c>
      <c r="B48" t="s">
        <v>353</v>
      </c>
      <c r="C48" t="s">
        <v>354</v>
      </c>
      <c r="D48" t="s">
        <v>349</v>
      </c>
      <c r="E48">
        <v>20</v>
      </c>
      <c r="F48" t="s">
        <v>402</v>
      </c>
      <c r="G48" t="s">
        <v>406</v>
      </c>
      <c r="H48" s="15">
        <v>32.94</v>
      </c>
    </row>
    <row r="49" spans="1:8" ht="15.75" thickBot="1" x14ac:dyDescent="0.3">
      <c r="A49">
        <v>152</v>
      </c>
      <c r="B49" t="s">
        <v>361</v>
      </c>
      <c r="C49" t="s">
        <v>401</v>
      </c>
      <c r="D49" t="s">
        <v>345</v>
      </c>
      <c r="E49">
        <v>1000</v>
      </c>
      <c r="F49" t="s">
        <v>402</v>
      </c>
      <c r="H49" s="20">
        <v>0.47520000000000001</v>
      </c>
    </row>
    <row r="50" spans="1:8" ht="15.75" thickBot="1" x14ac:dyDescent="0.3">
      <c r="A50">
        <v>153</v>
      </c>
      <c r="B50" t="s">
        <v>362</v>
      </c>
      <c r="C50" t="s">
        <v>401</v>
      </c>
      <c r="D50" t="s">
        <v>347</v>
      </c>
      <c r="E50">
        <v>1000</v>
      </c>
      <c r="F50" t="s">
        <v>402</v>
      </c>
      <c r="H50" s="17">
        <v>0.50759999999999994</v>
      </c>
    </row>
    <row r="51" spans="1:8" ht="15.75" thickBot="1" x14ac:dyDescent="0.3">
      <c r="A51">
        <v>154</v>
      </c>
      <c r="B51" t="s">
        <v>363</v>
      </c>
      <c r="C51" t="s">
        <v>401</v>
      </c>
      <c r="D51" t="s">
        <v>349</v>
      </c>
      <c r="E51">
        <v>1000</v>
      </c>
      <c r="F51" t="s">
        <v>402</v>
      </c>
      <c r="H51" s="17">
        <v>0.5292</v>
      </c>
    </row>
    <row r="52" spans="1:8" ht="15.75" thickBot="1" x14ac:dyDescent="0.3">
      <c r="A52">
        <v>155</v>
      </c>
      <c r="B52" t="s">
        <v>407</v>
      </c>
      <c r="C52" t="s">
        <v>365</v>
      </c>
      <c r="E52">
        <v>12</v>
      </c>
      <c r="F52" t="s">
        <v>402</v>
      </c>
      <c r="G52" t="s">
        <v>408</v>
      </c>
      <c r="H52" s="19">
        <v>71</v>
      </c>
    </row>
    <row r="53" spans="1:8" ht="15.75" thickBot="1" x14ac:dyDescent="0.3">
      <c r="A53">
        <v>158</v>
      </c>
      <c r="B53" t="s">
        <v>367</v>
      </c>
      <c r="C53" t="s">
        <v>368</v>
      </c>
      <c r="E53">
        <v>150</v>
      </c>
      <c r="F53" t="s">
        <v>402</v>
      </c>
      <c r="G53" t="s">
        <v>409</v>
      </c>
      <c r="H53" s="18">
        <v>7.1894</v>
      </c>
    </row>
    <row r="54" spans="1:8" ht="15.75" thickBot="1" x14ac:dyDescent="0.3">
      <c r="A54">
        <v>1957</v>
      </c>
      <c r="B54" t="s">
        <v>343</v>
      </c>
      <c r="C54" t="s">
        <v>410</v>
      </c>
      <c r="D54" t="s">
        <v>345</v>
      </c>
      <c r="F54" t="s">
        <v>411</v>
      </c>
      <c r="G54" t="s">
        <v>403</v>
      </c>
      <c r="H54" s="15">
        <v>27.88</v>
      </c>
    </row>
    <row r="55" spans="1:8" ht="15.75" thickBot="1" x14ac:dyDescent="0.3">
      <c r="A55">
        <v>1958</v>
      </c>
      <c r="B55" t="s">
        <v>343</v>
      </c>
      <c r="C55" t="s">
        <v>410</v>
      </c>
      <c r="D55" t="s">
        <v>347</v>
      </c>
      <c r="F55" t="s">
        <v>411</v>
      </c>
      <c r="G55" t="s">
        <v>403</v>
      </c>
      <c r="H55" s="15">
        <v>28.67</v>
      </c>
    </row>
    <row r="56" spans="1:8" x14ac:dyDescent="0.25">
      <c r="A56">
        <v>1959</v>
      </c>
      <c r="B56" t="s">
        <v>343</v>
      </c>
      <c r="C56" t="s">
        <v>410</v>
      </c>
      <c r="D56" t="s">
        <v>349</v>
      </c>
      <c r="F56" t="s">
        <v>411</v>
      </c>
      <c r="G56" t="s">
        <v>403</v>
      </c>
      <c r="H56" s="14">
        <v>30.77</v>
      </c>
    </row>
    <row r="57" spans="1:8" ht="15.75" thickBot="1" x14ac:dyDescent="0.3">
      <c r="A57">
        <v>1960</v>
      </c>
      <c r="B57" t="s">
        <v>353</v>
      </c>
      <c r="C57" t="s">
        <v>412</v>
      </c>
      <c r="D57" t="s">
        <v>345</v>
      </c>
      <c r="F57" t="s">
        <v>411</v>
      </c>
      <c r="G57" t="s">
        <v>413</v>
      </c>
      <c r="H57" s="15">
        <v>94.88</v>
      </c>
    </row>
    <row r="58" spans="1:8" ht="15.75" thickBot="1" x14ac:dyDescent="0.3">
      <c r="A58">
        <v>1961</v>
      </c>
      <c r="B58" t="s">
        <v>353</v>
      </c>
      <c r="C58" t="s">
        <v>412</v>
      </c>
      <c r="D58" t="s">
        <v>347</v>
      </c>
      <c r="F58" t="s">
        <v>411</v>
      </c>
      <c r="G58" t="s">
        <v>414</v>
      </c>
      <c r="H58" s="15">
        <v>98.7</v>
      </c>
    </row>
    <row r="59" spans="1:8" x14ac:dyDescent="0.25">
      <c r="A59">
        <v>1962</v>
      </c>
      <c r="B59" t="s">
        <v>353</v>
      </c>
      <c r="C59" t="s">
        <v>412</v>
      </c>
      <c r="D59" t="s">
        <v>349</v>
      </c>
      <c r="F59" t="s">
        <v>411</v>
      </c>
      <c r="G59" t="s">
        <v>415</v>
      </c>
      <c r="H59" s="14">
        <v>107.44</v>
      </c>
    </row>
    <row r="60" spans="1:8" ht="15.75" thickBot="1" x14ac:dyDescent="0.3">
      <c r="A60">
        <v>1641</v>
      </c>
      <c r="B60" t="s">
        <v>416</v>
      </c>
      <c r="C60" t="s">
        <v>410</v>
      </c>
      <c r="D60" t="s">
        <v>345</v>
      </c>
      <c r="F60" t="s">
        <v>417</v>
      </c>
      <c r="H60" s="17">
        <v>0.64800000000000002</v>
      </c>
    </row>
    <row r="61" spans="1:8" ht="15.75" thickBot="1" x14ac:dyDescent="0.3">
      <c r="A61">
        <v>1642</v>
      </c>
      <c r="B61" t="s">
        <v>418</v>
      </c>
      <c r="C61" t="s">
        <v>410</v>
      </c>
      <c r="D61" t="s">
        <v>347</v>
      </c>
      <c r="F61" t="s">
        <v>417</v>
      </c>
      <c r="H61" s="17">
        <v>0.66959999999999997</v>
      </c>
    </row>
    <row r="62" spans="1:8" x14ac:dyDescent="0.25">
      <c r="A62">
        <v>1643</v>
      </c>
      <c r="B62" t="s">
        <v>419</v>
      </c>
      <c r="C62" t="s">
        <v>410</v>
      </c>
      <c r="D62" t="s">
        <v>349</v>
      </c>
      <c r="F62" t="s">
        <v>417</v>
      </c>
      <c r="H62" s="16">
        <v>0.70200000000000007</v>
      </c>
    </row>
    <row r="63" spans="1:8" ht="15.75" thickBot="1" x14ac:dyDescent="0.3">
      <c r="A63">
        <v>1209</v>
      </c>
      <c r="B63" t="s">
        <v>420</v>
      </c>
      <c r="C63" t="s">
        <v>365</v>
      </c>
      <c r="F63" t="s">
        <v>417</v>
      </c>
      <c r="G63" t="s">
        <v>421</v>
      </c>
      <c r="H63" s="15">
        <v>86.5</v>
      </c>
    </row>
    <row r="64" spans="1:8" ht="15.75" thickBot="1" x14ac:dyDescent="0.3">
      <c r="A64">
        <v>1640</v>
      </c>
      <c r="B64" t="s">
        <v>367</v>
      </c>
      <c r="C64" t="s">
        <v>368</v>
      </c>
      <c r="F64" t="s">
        <v>417</v>
      </c>
      <c r="G64" t="s">
        <v>408</v>
      </c>
      <c r="H64" s="15">
        <v>8.1988000000000003</v>
      </c>
    </row>
    <row r="65" spans="1:8" x14ac:dyDescent="0.25">
      <c r="A65">
        <v>1639</v>
      </c>
      <c r="B65" t="s">
        <v>367</v>
      </c>
      <c r="C65" t="s">
        <v>369</v>
      </c>
      <c r="F65" t="s">
        <v>417</v>
      </c>
      <c r="G65" t="s">
        <v>408</v>
      </c>
      <c r="H65" s="14">
        <v>4.4084000000000003</v>
      </c>
    </row>
    <row r="66" spans="1:8" ht="15.75" thickBot="1" x14ac:dyDescent="0.3">
      <c r="A66">
        <v>1787</v>
      </c>
      <c r="B66" t="s">
        <v>370</v>
      </c>
      <c r="C66" t="s">
        <v>371</v>
      </c>
      <c r="D66" t="s">
        <v>372</v>
      </c>
      <c r="E66" t="s">
        <v>373</v>
      </c>
      <c r="F66" t="s">
        <v>417</v>
      </c>
      <c r="H66" s="12">
        <v>4.6115999999999993</v>
      </c>
    </row>
    <row r="67" spans="1:8" ht="15.75" thickBot="1" x14ac:dyDescent="0.3">
      <c r="A67">
        <v>1656</v>
      </c>
      <c r="B67" t="s">
        <v>370</v>
      </c>
      <c r="C67" t="s">
        <v>374</v>
      </c>
      <c r="D67" t="s">
        <v>372</v>
      </c>
      <c r="E67" t="s">
        <v>375</v>
      </c>
      <c r="F67" t="s">
        <v>417</v>
      </c>
      <c r="H67" s="12">
        <v>5.0111999999999997</v>
      </c>
    </row>
    <row r="68" spans="1:8" ht="15.75" thickBot="1" x14ac:dyDescent="0.3">
      <c r="A68">
        <v>1657</v>
      </c>
      <c r="B68" t="s">
        <v>370</v>
      </c>
      <c r="C68" t="s">
        <v>376</v>
      </c>
      <c r="D68" t="s">
        <v>372</v>
      </c>
      <c r="E68" t="s">
        <v>422</v>
      </c>
      <c r="F68" t="s">
        <v>417</v>
      </c>
      <c r="H68" s="11">
        <v>6.1992000000000003</v>
      </c>
    </row>
    <row r="69" spans="1:8" ht="15.75" thickBot="1" x14ac:dyDescent="0.3">
      <c r="A69">
        <v>1658</v>
      </c>
      <c r="B69" t="s">
        <v>370</v>
      </c>
      <c r="C69" t="s">
        <v>377</v>
      </c>
      <c r="D69" t="s">
        <v>372</v>
      </c>
      <c r="E69" t="s">
        <v>423</v>
      </c>
      <c r="F69" t="s">
        <v>417</v>
      </c>
      <c r="H69" s="11">
        <v>7.0956000000000001</v>
      </c>
    </row>
    <row r="70" spans="1:8" ht="15.75" thickBot="1" x14ac:dyDescent="0.3">
      <c r="A70">
        <v>1659</v>
      </c>
      <c r="B70" t="s">
        <v>370</v>
      </c>
      <c r="C70" t="s">
        <v>379</v>
      </c>
      <c r="D70" t="s">
        <v>372</v>
      </c>
      <c r="E70" t="s">
        <v>380</v>
      </c>
      <c r="F70" t="s">
        <v>417</v>
      </c>
      <c r="H70" s="11">
        <v>9.1259999999999994</v>
      </c>
    </row>
    <row r="71" spans="1:8" ht="15.75" thickBot="1" x14ac:dyDescent="0.3">
      <c r="A71">
        <v>1660</v>
      </c>
      <c r="B71" t="s">
        <v>370</v>
      </c>
      <c r="C71" t="s">
        <v>381</v>
      </c>
      <c r="D71" t="s">
        <v>372</v>
      </c>
      <c r="E71" t="s">
        <v>424</v>
      </c>
      <c r="F71" t="s">
        <v>417</v>
      </c>
      <c r="H71" s="11">
        <v>13.586399999999999</v>
      </c>
    </row>
    <row r="72" spans="1:8" ht="15.75" thickBot="1" x14ac:dyDescent="0.3">
      <c r="A72">
        <v>1974</v>
      </c>
      <c r="B72" t="s">
        <v>370</v>
      </c>
      <c r="C72" t="s">
        <v>383</v>
      </c>
      <c r="D72" t="s">
        <v>372</v>
      </c>
      <c r="E72" t="s">
        <v>425</v>
      </c>
      <c r="F72" t="s">
        <v>417</v>
      </c>
      <c r="H72" s="11">
        <v>6.3720000000000008</v>
      </c>
    </row>
    <row r="73" spans="1:8" ht="15.75" thickBot="1" x14ac:dyDescent="0.3">
      <c r="A73">
        <v>1661</v>
      </c>
      <c r="B73" t="s">
        <v>370</v>
      </c>
      <c r="C73" t="s">
        <v>385</v>
      </c>
      <c r="D73" t="s">
        <v>372</v>
      </c>
      <c r="E73" t="s">
        <v>378</v>
      </c>
      <c r="F73" t="s">
        <v>417</v>
      </c>
      <c r="H73" s="11">
        <v>6.9228000000000005</v>
      </c>
    </row>
    <row r="74" spans="1:8" ht="15.75" thickBot="1" x14ac:dyDescent="0.3">
      <c r="A74">
        <v>1662</v>
      </c>
      <c r="B74" t="s">
        <v>370</v>
      </c>
      <c r="C74" t="s">
        <v>387</v>
      </c>
      <c r="D74" t="s">
        <v>372</v>
      </c>
      <c r="E74" t="s">
        <v>423</v>
      </c>
      <c r="F74" t="s">
        <v>417</v>
      </c>
      <c r="H74" s="11">
        <v>8.5535999999999994</v>
      </c>
    </row>
    <row r="75" spans="1:8" ht="15.75" thickBot="1" x14ac:dyDescent="0.3">
      <c r="A75">
        <v>1663</v>
      </c>
      <c r="B75" t="s">
        <v>370</v>
      </c>
      <c r="C75" t="s">
        <v>388</v>
      </c>
      <c r="D75" t="s">
        <v>372</v>
      </c>
      <c r="E75" t="s">
        <v>380</v>
      </c>
      <c r="F75" t="s">
        <v>417</v>
      </c>
      <c r="H75" s="11">
        <v>10.119599999999998</v>
      </c>
    </row>
    <row r="76" spans="1:8" ht="15.75" thickBot="1" x14ac:dyDescent="0.3">
      <c r="A76">
        <v>1664</v>
      </c>
      <c r="B76" t="s">
        <v>370</v>
      </c>
      <c r="C76" t="s">
        <v>390</v>
      </c>
      <c r="D76" t="s">
        <v>372</v>
      </c>
      <c r="E76" t="s">
        <v>391</v>
      </c>
      <c r="F76" t="s">
        <v>417</v>
      </c>
      <c r="H76" s="11">
        <v>12.9924</v>
      </c>
    </row>
    <row r="77" spans="1:8" x14ac:dyDescent="0.25">
      <c r="A77">
        <v>1665</v>
      </c>
      <c r="B77" t="s">
        <v>370</v>
      </c>
      <c r="C77" t="s">
        <v>392</v>
      </c>
      <c r="D77" t="s">
        <v>372</v>
      </c>
      <c r="E77" t="s">
        <v>426</v>
      </c>
      <c r="F77" t="s">
        <v>417</v>
      </c>
      <c r="H77" s="13">
        <v>18.7272</v>
      </c>
    </row>
    <row r="78" spans="1:8" ht="15.75" thickBot="1" x14ac:dyDescent="0.3">
      <c r="A78">
        <v>1963</v>
      </c>
      <c r="B78" t="s">
        <v>394</v>
      </c>
      <c r="C78" t="s">
        <v>374</v>
      </c>
      <c r="D78" t="s">
        <v>372</v>
      </c>
      <c r="E78" t="s">
        <v>386</v>
      </c>
      <c r="F78" t="s">
        <v>417</v>
      </c>
      <c r="H78" s="12">
        <v>4.8600000000000003</v>
      </c>
    </row>
    <row r="79" spans="1:8" ht="15.75" thickBot="1" x14ac:dyDescent="0.3">
      <c r="A79">
        <v>1964</v>
      </c>
      <c r="B79" t="s">
        <v>394</v>
      </c>
      <c r="C79" t="s">
        <v>376</v>
      </c>
      <c r="D79" t="s">
        <v>372</v>
      </c>
      <c r="E79" t="s">
        <v>378</v>
      </c>
      <c r="F79" t="s">
        <v>417</v>
      </c>
      <c r="H79" s="11">
        <v>6.0156000000000001</v>
      </c>
    </row>
    <row r="80" spans="1:8" ht="15.75" thickBot="1" x14ac:dyDescent="0.3">
      <c r="A80">
        <v>1965</v>
      </c>
      <c r="B80" t="s">
        <v>394</v>
      </c>
      <c r="C80" t="s">
        <v>377</v>
      </c>
      <c r="D80" t="s">
        <v>372</v>
      </c>
      <c r="E80" t="s">
        <v>427</v>
      </c>
      <c r="F80" t="s">
        <v>417</v>
      </c>
      <c r="H80" s="11">
        <v>6.8903999999999996</v>
      </c>
    </row>
    <row r="81" spans="1:8" ht="15.75" thickBot="1" x14ac:dyDescent="0.3">
      <c r="A81">
        <v>1966</v>
      </c>
      <c r="B81" t="s">
        <v>394</v>
      </c>
      <c r="C81" t="s">
        <v>379</v>
      </c>
      <c r="D81" t="s">
        <v>372</v>
      </c>
      <c r="E81" t="s">
        <v>428</v>
      </c>
      <c r="F81" t="s">
        <v>417</v>
      </c>
      <c r="H81" s="11">
        <v>8.8452000000000002</v>
      </c>
    </row>
    <row r="82" spans="1:8" ht="15.75" thickBot="1" x14ac:dyDescent="0.3">
      <c r="A82">
        <v>1967</v>
      </c>
      <c r="B82" t="s">
        <v>394</v>
      </c>
      <c r="C82" t="s">
        <v>381</v>
      </c>
      <c r="D82" t="s">
        <v>372</v>
      </c>
      <c r="E82" t="s">
        <v>429</v>
      </c>
      <c r="F82" t="s">
        <v>417</v>
      </c>
      <c r="H82" s="11">
        <v>13.186800000000002</v>
      </c>
    </row>
    <row r="83" spans="1:8" ht="15.75" thickBot="1" x14ac:dyDescent="0.3">
      <c r="A83">
        <v>1968</v>
      </c>
      <c r="B83" t="s">
        <v>394</v>
      </c>
      <c r="C83" t="s">
        <v>385</v>
      </c>
      <c r="D83" t="s">
        <v>372</v>
      </c>
      <c r="E83" t="s">
        <v>430</v>
      </c>
      <c r="F83" t="s">
        <v>417</v>
      </c>
      <c r="H83" s="11">
        <v>6.7284000000000006</v>
      </c>
    </row>
    <row r="84" spans="1:8" ht="15.75" thickBot="1" x14ac:dyDescent="0.3">
      <c r="A84">
        <v>1969</v>
      </c>
      <c r="B84" t="s">
        <v>394</v>
      </c>
      <c r="C84" t="s">
        <v>387</v>
      </c>
      <c r="D84" t="s">
        <v>372</v>
      </c>
      <c r="E84" t="s">
        <v>391</v>
      </c>
      <c r="F84" t="s">
        <v>417</v>
      </c>
      <c r="H84" s="11">
        <v>8.2835999999999999</v>
      </c>
    </row>
    <row r="85" spans="1:8" ht="15.75" thickBot="1" x14ac:dyDescent="0.3">
      <c r="A85">
        <v>1970</v>
      </c>
      <c r="B85" t="s">
        <v>394</v>
      </c>
      <c r="C85" t="s">
        <v>388</v>
      </c>
      <c r="D85" t="s">
        <v>372</v>
      </c>
      <c r="E85" t="s">
        <v>428</v>
      </c>
      <c r="F85" t="s">
        <v>417</v>
      </c>
      <c r="H85" s="11">
        <v>9.8064</v>
      </c>
    </row>
    <row r="86" spans="1:8" ht="15.75" thickBot="1" x14ac:dyDescent="0.3">
      <c r="A86">
        <v>1971</v>
      </c>
      <c r="B86" t="s">
        <v>394</v>
      </c>
      <c r="C86" t="s">
        <v>390</v>
      </c>
      <c r="D86" t="s">
        <v>372</v>
      </c>
      <c r="E86" t="s">
        <v>431</v>
      </c>
      <c r="F86" t="s">
        <v>417</v>
      </c>
      <c r="H86" s="11">
        <v>12.6036</v>
      </c>
    </row>
    <row r="87" spans="1:8" ht="15.75" thickBot="1" x14ac:dyDescent="0.3">
      <c r="A87">
        <v>1972</v>
      </c>
      <c r="B87" t="s">
        <v>394</v>
      </c>
      <c r="C87" t="s">
        <v>392</v>
      </c>
      <c r="D87" t="s">
        <v>372</v>
      </c>
      <c r="E87" t="s">
        <v>432</v>
      </c>
      <c r="F87" t="s">
        <v>417</v>
      </c>
      <c r="H87" s="11">
        <v>18.176399999999997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CE64-D7FA-4D45-8404-238F9DAB7CE2}">
  <dimension ref="A1:G400"/>
  <sheetViews>
    <sheetView workbookViewId="0">
      <selection activeCell="G2" sqref="G2"/>
    </sheetView>
  </sheetViews>
  <sheetFormatPr defaultColWidth="50.85546875" defaultRowHeight="15" x14ac:dyDescent="0.25"/>
  <cols>
    <col min="1" max="1" width="7" style="8" customWidth="1"/>
    <col min="2" max="2" width="76.5703125" style="8" bestFit="1" customWidth="1"/>
    <col min="3" max="3" width="7.7109375" style="8" customWidth="1"/>
    <col min="4" max="4" width="12.5703125" style="8" bestFit="1" customWidth="1"/>
    <col min="5" max="5" width="7.28515625" style="8" customWidth="1"/>
    <col min="6" max="6" width="8.42578125" style="8" customWidth="1"/>
    <col min="7" max="7" width="8.7109375" style="8" customWidth="1"/>
    <col min="8" max="16384" width="50.85546875" style="8"/>
  </cols>
  <sheetData>
    <row r="1" spans="1:7" x14ac:dyDescent="0.25">
      <c r="A1" s="9" t="s">
        <v>450</v>
      </c>
      <c r="B1" s="9" t="s">
        <v>451</v>
      </c>
      <c r="C1" s="10" t="s">
        <v>452</v>
      </c>
      <c r="D1" s="10" t="s">
        <v>453</v>
      </c>
      <c r="E1" s="10" t="s">
        <v>454</v>
      </c>
      <c r="F1" s="10" t="s">
        <v>455</v>
      </c>
      <c r="G1" s="10" t="s">
        <v>456</v>
      </c>
    </row>
    <row r="2" spans="1:7" x14ac:dyDescent="0.25">
      <c r="A2">
        <v>1</v>
      </c>
      <c r="B2" t="s">
        <v>460</v>
      </c>
      <c r="C2" t="s">
        <v>322</v>
      </c>
      <c r="D2" t="s">
        <v>4</v>
      </c>
      <c r="E2">
        <v>0</v>
      </c>
      <c r="F2">
        <v>1000</v>
      </c>
      <c r="G2" t="e">
        <v>#VALUE!</v>
      </c>
    </row>
    <row r="3" spans="1:7" x14ac:dyDescent="0.25">
      <c r="A3">
        <v>2</v>
      </c>
      <c r="B3" t="s">
        <v>461</v>
      </c>
      <c r="C3" t="s">
        <v>322</v>
      </c>
      <c r="D3" t="s">
        <v>4</v>
      </c>
      <c r="E3">
        <v>14</v>
      </c>
      <c r="F3">
        <v>1000</v>
      </c>
      <c r="G3" t="e">
        <v>#VALUE!</v>
      </c>
    </row>
    <row r="4" spans="1:7" x14ac:dyDescent="0.25">
      <c r="A4">
        <v>3</v>
      </c>
      <c r="B4" t="s">
        <v>462</v>
      </c>
      <c r="C4" t="s">
        <v>322</v>
      </c>
      <c r="D4" t="s">
        <v>4</v>
      </c>
      <c r="E4">
        <v>0</v>
      </c>
      <c r="F4">
        <v>1000</v>
      </c>
      <c r="G4">
        <v>14000</v>
      </c>
    </row>
    <row r="5" spans="1:7" x14ac:dyDescent="0.25">
      <c r="A5">
        <v>4</v>
      </c>
      <c r="B5" t="s">
        <v>517</v>
      </c>
      <c r="C5" t="s">
        <v>322</v>
      </c>
      <c r="D5" t="s">
        <v>63</v>
      </c>
      <c r="E5">
        <v>13</v>
      </c>
      <c r="F5">
        <v>1000</v>
      </c>
      <c r="G5">
        <v>0</v>
      </c>
    </row>
    <row r="6" spans="1:7" x14ac:dyDescent="0.25">
      <c r="A6">
        <v>1</v>
      </c>
      <c r="B6" t="s">
        <v>460</v>
      </c>
      <c r="C6" t="s">
        <v>322</v>
      </c>
      <c r="D6" t="s">
        <v>4</v>
      </c>
      <c r="E6">
        <v>0</v>
      </c>
      <c r="F6">
        <v>1000</v>
      </c>
      <c r="G6">
        <v>0</v>
      </c>
    </row>
    <row r="7" spans="1:7" x14ac:dyDescent="0.25">
      <c r="A7">
        <v>2</v>
      </c>
      <c r="B7" t="s">
        <v>461</v>
      </c>
      <c r="C7" t="s">
        <v>322</v>
      </c>
      <c r="D7" t="s">
        <v>4</v>
      </c>
      <c r="E7">
        <v>0</v>
      </c>
      <c r="F7">
        <v>1000</v>
      </c>
      <c r="G7">
        <v>0</v>
      </c>
    </row>
    <row r="8" spans="1:7" x14ac:dyDescent="0.25">
      <c r="A8">
        <v>3</v>
      </c>
      <c r="B8" t="s">
        <v>462</v>
      </c>
      <c r="C8" t="s">
        <v>322</v>
      </c>
      <c r="D8" t="s">
        <v>4</v>
      </c>
      <c r="E8">
        <v>0</v>
      </c>
      <c r="F8">
        <v>1000</v>
      </c>
      <c r="G8">
        <v>0</v>
      </c>
    </row>
    <row r="9" spans="1:7" x14ac:dyDescent="0.25">
      <c r="A9">
        <v>152</v>
      </c>
      <c r="B9" t="s">
        <v>460</v>
      </c>
      <c r="C9" t="s">
        <v>322</v>
      </c>
      <c r="D9" t="s">
        <v>8</v>
      </c>
      <c r="E9">
        <v>9</v>
      </c>
      <c r="F9">
        <v>1000</v>
      </c>
      <c r="G9">
        <v>0</v>
      </c>
    </row>
    <row r="10" spans="1:7" x14ac:dyDescent="0.25">
      <c r="A10">
        <v>153</v>
      </c>
      <c r="B10" t="s">
        <v>461</v>
      </c>
      <c r="C10" t="s">
        <v>322</v>
      </c>
      <c r="D10" t="s">
        <v>8</v>
      </c>
      <c r="E10">
        <v>0</v>
      </c>
      <c r="F10">
        <v>1000</v>
      </c>
      <c r="G10">
        <v>0</v>
      </c>
    </row>
    <row r="11" spans="1:7" x14ac:dyDescent="0.25">
      <c r="A11">
        <v>154</v>
      </c>
      <c r="B11" t="s">
        <v>462</v>
      </c>
      <c r="C11" t="s">
        <v>322</v>
      </c>
      <c r="D11" t="s">
        <v>8</v>
      </c>
      <c r="E11">
        <v>0</v>
      </c>
      <c r="F11">
        <v>1000</v>
      </c>
      <c r="G11">
        <v>288</v>
      </c>
    </row>
    <row r="12" spans="1:7" x14ac:dyDescent="0.25">
      <c r="A12">
        <v>1641</v>
      </c>
      <c r="B12" t="s">
        <v>460</v>
      </c>
      <c r="C12" t="s">
        <v>322</v>
      </c>
      <c r="D12" t="s">
        <v>9</v>
      </c>
      <c r="E12">
        <v>0</v>
      </c>
      <c r="F12"/>
      <c r="G12">
        <v>0</v>
      </c>
    </row>
    <row r="13" spans="1:7" x14ac:dyDescent="0.25">
      <c r="A13">
        <v>1642</v>
      </c>
      <c r="B13" t="s">
        <v>461</v>
      </c>
      <c r="C13" t="s">
        <v>322</v>
      </c>
      <c r="D13" t="s">
        <v>9</v>
      </c>
      <c r="E13">
        <v>0</v>
      </c>
      <c r="F13">
        <v>900</v>
      </c>
      <c r="G13">
        <v>60</v>
      </c>
    </row>
    <row r="14" spans="1:7" x14ac:dyDescent="0.25">
      <c r="A14">
        <v>1643</v>
      </c>
      <c r="B14" t="s">
        <v>462</v>
      </c>
      <c r="C14" t="s">
        <v>322</v>
      </c>
      <c r="D14" t="s">
        <v>9</v>
      </c>
      <c r="E14">
        <v>14</v>
      </c>
      <c r="F14">
        <v>900</v>
      </c>
      <c r="G14">
        <v>0</v>
      </c>
    </row>
    <row r="15" spans="1:7" x14ac:dyDescent="0.25">
      <c r="A15">
        <v>1587</v>
      </c>
      <c r="B15" t="s">
        <v>463</v>
      </c>
      <c r="C15" t="s">
        <v>322</v>
      </c>
      <c r="D15" t="s">
        <v>4</v>
      </c>
      <c r="E15">
        <v>0</v>
      </c>
      <c r="F15">
        <v>300</v>
      </c>
      <c r="G15">
        <v>0</v>
      </c>
    </row>
    <row r="16" spans="1:7" x14ac:dyDescent="0.25">
      <c r="A16">
        <v>1588</v>
      </c>
      <c r="B16" t="s">
        <v>464</v>
      </c>
      <c r="C16" t="s">
        <v>322</v>
      </c>
      <c r="D16" t="s">
        <v>4</v>
      </c>
      <c r="E16">
        <v>0</v>
      </c>
      <c r="F16">
        <v>150</v>
      </c>
      <c r="G16">
        <v>0</v>
      </c>
    </row>
    <row r="17" spans="1:7" x14ac:dyDescent="0.25">
      <c r="A17">
        <v>1586</v>
      </c>
      <c r="B17" t="s">
        <v>465</v>
      </c>
      <c r="C17" t="s">
        <v>322</v>
      </c>
      <c r="D17" t="s">
        <v>4</v>
      </c>
      <c r="E17">
        <v>1</v>
      </c>
      <c r="F17">
        <v>12</v>
      </c>
      <c r="G17">
        <v>0</v>
      </c>
    </row>
    <row r="18" spans="1:7" x14ac:dyDescent="0.25">
      <c r="A18">
        <v>157</v>
      </c>
      <c r="B18" t="s">
        <v>463</v>
      </c>
      <c r="C18" t="s">
        <v>322</v>
      </c>
      <c r="D18" t="s">
        <v>8</v>
      </c>
      <c r="E18">
        <v>0</v>
      </c>
      <c r="F18">
        <v>300</v>
      </c>
      <c r="G18">
        <v>0</v>
      </c>
    </row>
    <row r="19" spans="1:7" x14ac:dyDescent="0.25">
      <c r="A19">
        <v>158</v>
      </c>
      <c r="B19" t="s">
        <v>464</v>
      </c>
      <c r="C19" t="s">
        <v>322</v>
      </c>
      <c r="D19" t="s">
        <v>8</v>
      </c>
      <c r="E19">
        <v>0</v>
      </c>
      <c r="F19">
        <v>150</v>
      </c>
      <c r="G19">
        <v>0</v>
      </c>
    </row>
    <row r="20" spans="1:7" x14ac:dyDescent="0.25">
      <c r="A20">
        <v>155</v>
      </c>
      <c r="B20" t="s">
        <v>465</v>
      </c>
      <c r="C20" t="s">
        <v>322</v>
      </c>
      <c r="D20" t="s">
        <v>8</v>
      </c>
      <c r="E20">
        <v>0</v>
      </c>
      <c r="F20"/>
      <c r="G20">
        <v>0</v>
      </c>
    </row>
    <row r="21" spans="1:7" x14ac:dyDescent="0.25">
      <c r="A21">
        <v>1639</v>
      </c>
      <c r="B21" t="s">
        <v>463</v>
      </c>
      <c r="C21" t="s">
        <v>322</v>
      </c>
      <c r="D21" t="s">
        <v>9</v>
      </c>
      <c r="E21">
        <v>0</v>
      </c>
      <c r="F21"/>
      <c r="G21">
        <v>0</v>
      </c>
    </row>
    <row r="22" spans="1:7" x14ac:dyDescent="0.25">
      <c r="A22">
        <v>1640</v>
      </c>
      <c r="B22" t="s">
        <v>464</v>
      </c>
      <c r="C22" t="s">
        <v>322</v>
      </c>
      <c r="D22" t="s">
        <v>9</v>
      </c>
      <c r="E22">
        <v>0</v>
      </c>
      <c r="F22">
        <v>150</v>
      </c>
      <c r="G22">
        <v>0</v>
      </c>
    </row>
    <row r="23" spans="1:7" x14ac:dyDescent="0.25">
      <c r="A23">
        <v>1209</v>
      </c>
      <c r="B23" t="s">
        <v>465</v>
      </c>
      <c r="C23" t="s">
        <v>322</v>
      </c>
      <c r="D23" t="s">
        <v>9</v>
      </c>
      <c r="E23">
        <v>0</v>
      </c>
      <c r="F23">
        <v>12</v>
      </c>
      <c r="G23">
        <v>200</v>
      </c>
    </row>
    <row r="24" spans="1:7" x14ac:dyDescent="0.25">
      <c r="A24">
        <v>5</v>
      </c>
      <c r="B24" t="s">
        <v>466</v>
      </c>
      <c r="C24">
        <v>70</v>
      </c>
      <c r="D24" t="s">
        <v>4</v>
      </c>
      <c r="E24">
        <v>0</v>
      </c>
      <c r="F24"/>
      <c r="G24">
        <v>0</v>
      </c>
    </row>
    <row r="25" spans="1:7" x14ac:dyDescent="0.25">
      <c r="A25">
        <v>6</v>
      </c>
      <c r="B25" t="s">
        <v>466</v>
      </c>
      <c r="C25">
        <v>80</v>
      </c>
      <c r="D25" t="s">
        <v>4</v>
      </c>
      <c r="E25">
        <v>4</v>
      </c>
      <c r="F25"/>
      <c r="G25">
        <v>0</v>
      </c>
    </row>
    <row r="26" spans="1:7" x14ac:dyDescent="0.25">
      <c r="A26">
        <v>7</v>
      </c>
      <c r="B26" t="s">
        <v>466</v>
      </c>
      <c r="C26">
        <v>90</v>
      </c>
      <c r="D26" t="s">
        <v>4</v>
      </c>
      <c r="E26">
        <v>0</v>
      </c>
      <c r="F26"/>
      <c r="G26">
        <v>0</v>
      </c>
    </row>
    <row r="27" spans="1:7" x14ac:dyDescent="0.25">
      <c r="A27">
        <v>8</v>
      </c>
      <c r="B27" t="s">
        <v>466</v>
      </c>
      <c r="C27">
        <v>100</v>
      </c>
      <c r="D27" t="s">
        <v>4</v>
      </c>
      <c r="E27">
        <v>0</v>
      </c>
      <c r="F27">
        <v>72</v>
      </c>
      <c r="G27">
        <v>90</v>
      </c>
    </row>
    <row r="28" spans="1:7" x14ac:dyDescent="0.25">
      <c r="A28">
        <v>9</v>
      </c>
      <c r="B28" t="s">
        <v>466</v>
      </c>
      <c r="C28">
        <v>110</v>
      </c>
      <c r="D28" t="s">
        <v>4</v>
      </c>
      <c r="E28">
        <v>0</v>
      </c>
      <c r="F28"/>
      <c r="G28">
        <v>0</v>
      </c>
    </row>
    <row r="29" spans="1:7" x14ac:dyDescent="0.25">
      <c r="A29">
        <v>10</v>
      </c>
      <c r="B29" t="s">
        <v>466</v>
      </c>
      <c r="C29">
        <v>120</v>
      </c>
      <c r="D29" t="s">
        <v>4</v>
      </c>
      <c r="E29">
        <v>3</v>
      </c>
      <c r="F29">
        <v>60</v>
      </c>
      <c r="G29">
        <v>0</v>
      </c>
    </row>
    <row r="30" spans="1:7" x14ac:dyDescent="0.25">
      <c r="A30">
        <v>11</v>
      </c>
      <c r="B30" t="s">
        <v>466</v>
      </c>
      <c r="C30">
        <v>130</v>
      </c>
      <c r="D30" t="s">
        <v>4</v>
      </c>
      <c r="E30">
        <v>0</v>
      </c>
      <c r="F30">
        <v>50</v>
      </c>
      <c r="G30">
        <v>0</v>
      </c>
    </row>
    <row r="31" spans="1:7" x14ac:dyDescent="0.25">
      <c r="A31">
        <v>12</v>
      </c>
      <c r="B31" t="s">
        <v>466</v>
      </c>
      <c r="C31">
        <v>140</v>
      </c>
      <c r="D31" t="s">
        <v>4</v>
      </c>
      <c r="E31">
        <v>0</v>
      </c>
      <c r="F31"/>
      <c r="G31">
        <v>96</v>
      </c>
    </row>
    <row r="32" spans="1:7" x14ac:dyDescent="0.25">
      <c r="A32">
        <v>13</v>
      </c>
      <c r="B32" t="s">
        <v>466</v>
      </c>
      <c r="C32">
        <v>150</v>
      </c>
      <c r="D32" t="s">
        <v>4</v>
      </c>
      <c r="E32">
        <v>0</v>
      </c>
      <c r="F32">
        <v>50</v>
      </c>
      <c r="G32">
        <v>0</v>
      </c>
    </row>
    <row r="33" spans="1:7" x14ac:dyDescent="0.25">
      <c r="A33">
        <v>14</v>
      </c>
      <c r="B33" t="s">
        <v>466</v>
      </c>
      <c r="C33">
        <v>160</v>
      </c>
      <c r="D33" t="s">
        <v>4</v>
      </c>
      <c r="E33">
        <v>4</v>
      </c>
      <c r="F33"/>
      <c r="G33">
        <v>0</v>
      </c>
    </row>
    <row r="34" spans="1:7" x14ac:dyDescent="0.25">
      <c r="A34">
        <v>15</v>
      </c>
      <c r="B34" t="s">
        <v>466</v>
      </c>
      <c r="C34">
        <v>170</v>
      </c>
      <c r="D34" t="s">
        <v>4</v>
      </c>
      <c r="E34">
        <v>0</v>
      </c>
      <c r="F34"/>
      <c r="G34">
        <v>0</v>
      </c>
    </row>
    <row r="35" spans="1:7" x14ac:dyDescent="0.25">
      <c r="A35">
        <v>16</v>
      </c>
      <c r="B35" t="s">
        <v>466</v>
      </c>
      <c r="C35">
        <v>180</v>
      </c>
      <c r="D35" t="s">
        <v>4</v>
      </c>
      <c r="E35">
        <v>4</v>
      </c>
      <c r="F35">
        <v>40</v>
      </c>
      <c r="G35">
        <v>192</v>
      </c>
    </row>
    <row r="36" spans="1:7" x14ac:dyDescent="0.25">
      <c r="A36">
        <v>17</v>
      </c>
      <c r="B36" t="s">
        <v>466</v>
      </c>
      <c r="C36">
        <v>190</v>
      </c>
      <c r="D36" t="s">
        <v>4</v>
      </c>
      <c r="E36">
        <v>0</v>
      </c>
      <c r="F36"/>
      <c r="G36">
        <v>0</v>
      </c>
    </row>
    <row r="37" spans="1:7" x14ac:dyDescent="0.25">
      <c r="A37">
        <v>18</v>
      </c>
      <c r="B37" t="s">
        <v>466</v>
      </c>
      <c r="C37">
        <v>200</v>
      </c>
      <c r="D37" t="s">
        <v>4</v>
      </c>
      <c r="E37">
        <v>0</v>
      </c>
      <c r="F37"/>
      <c r="G37">
        <v>128</v>
      </c>
    </row>
    <row r="38" spans="1:7" x14ac:dyDescent="0.25">
      <c r="A38">
        <v>51</v>
      </c>
      <c r="B38" t="s">
        <v>466</v>
      </c>
      <c r="C38">
        <v>210</v>
      </c>
      <c r="D38" t="s">
        <v>8</v>
      </c>
      <c r="E38">
        <v>0</v>
      </c>
      <c r="F38">
        <v>40</v>
      </c>
      <c r="G38">
        <v>0</v>
      </c>
    </row>
    <row r="39" spans="1:7" x14ac:dyDescent="0.25">
      <c r="A39">
        <v>52</v>
      </c>
      <c r="B39" t="s">
        <v>466</v>
      </c>
      <c r="C39">
        <v>220</v>
      </c>
      <c r="D39" t="s">
        <v>8</v>
      </c>
      <c r="E39">
        <v>0</v>
      </c>
      <c r="F39"/>
      <c r="G39">
        <v>0</v>
      </c>
    </row>
    <row r="40" spans="1:7" x14ac:dyDescent="0.25">
      <c r="A40">
        <v>53</v>
      </c>
      <c r="B40" t="s">
        <v>466</v>
      </c>
      <c r="C40">
        <v>230</v>
      </c>
      <c r="D40" t="s">
        <v>8</v>
      </c>
      <c r="E40">
        <v>0</v>
      </c>
      <c r="F40"/>
      <c r="G40">
        <v>0</v>
      </c>
    </row>
    <row r="41" spans="1:7" x14ac:dyDescent="0.25">
      <c r="A41">
        <v>54</v>
      </c>
      <c r="B41" t="s">
        <v>466</v>
      </c>
      <c r="C41">
        <v>240</v>
      </c>
      <c r="D41" t="s">
        <v>8</v>
      </c>
      <c r="E41">
        <v>1</v>
      </c>
      <c r="F41"/>
      <c r="G41">
        <v>0</v>
      </c>
    </row>
    <row r="42" spans="1:7" x14ac:dyDescent="0.25">
      <c r="A42">
        <v>55</v>
      </c>
      <c r="B42" t="s">
        <v>466</v>
      </c>
      <c r="C42">
        <v>250</v>
      </c>
      <c r="D42" t="s">
        <v>8</v>
      </c>
      <c r="E42">
        <v>0</v>
      </c>
      <c r="F42">
        <v>30</v>
      </c>
      <c r="G42">
        <v>0</v>
      </c>
    </row>
    <row r="43" spans="1:7" x14ac:dyDescent="0.25">
      <c r="A43">
        <v>56</v>
      </c>
      <c r="B43" t="s">
        <v>466</v>
      </c>
      <c r="C43">
        <v>260</v>
      </c>
      <c r="D43" t="s">
        <v>8</v>
      </c>
      <c r="E43">
        <v>0</v>
      </c>
      <c r="F43"/>
      <c r="G43">
        <v>72</v>
      </c>
    </row>
    <row r="44" spans="1:7" x14ac:dyDescent="0.25">
      <c r="A44">
        <v>57</v>
      </c>
      <c r="B44" t="s">
        <v>466</v>
      </c>
      <c r="C44">
        <v>270</v>
      </c>
      <c r="D44" t="s">
        <v>8</v>
      </c>
      <c r="E44">
        <v>0</v>
      </c>
      <c r="F44"/>
      <c r="G44">
        <v>0</v>
      </c>
    </row>
    <row r="45" spans="1:7" x14ac:dyDescent="0.25">
      <c r="A45">
        <v>58</v>
      </c>
      <c r="B45" t="s">
        <v>466</v>
      </c>
      <c r="C45">
        <v>280</v>
      </c>
      <c r="D45" t="s">
        <v>8</v>
      </c>
      <c r="E45">
        <v>0</v>
      </c>
      <c r="F45"/>
      <c r="G45">
        <v>0</v>
      </c>
    </row>
    <row r="46" spans="1:7" x14ac:dyDescent="0.25">
      <c r="A46">
        <v>59</v>
      </c>
      <c r="B46" t="s">
        <v>466</v>
      </c>
      <c r="C46">
        <v>290</v>
      </c>
      <c r="D46" t="s">
        <v>8</v>
      </c>
      <c r="E46">
        <v>0</v>
      </c>
      <c r="F46">
        <v>32</v>
      </c>
      <c r="G46">
        <v>0</v>
      </c>
    </row>
    <row r="47" spans="1:7" x14ac:dyDescent="0.25">
      <c r="A47">
        <v>60</v>
      </c>
      <c r="B47" t="s">
        <v>466</v>
      </c>
      <c r="C47">
        <v>300</v>
      </c>
      <c r="D47" t="s">
        <v>8</v>
      </c>
      <c r="E47"/>
      <c r="F47"/>
      <c r="G47">
        <v>0</v>
      </c>
    </row>
    <row r="48" spans="1:7" x14ac:dyDescent="0.25">
      <c r="A48">
        <v>61</v>
      </c>
      <c r="B48" t="s">
        <v>466</v>
      </c>
      <c r="C48">
        <v>310</v>
      </c>
      <c r="D48" t="s">
        <v>8</v>
      </c>
      <c r="E48">
        <v>0</v>
      </c>
      <c r="F48"/>
      <c r="G48">
        <v>0</v>
      </c>
    </row>
    <row r="49" spans="1:7" x14ac:dyDescent="0.25">
      <c r="A49">
        <v>19</v>
      </c>
      <c r="B49" t="s">
        <v>466</v>
      </c>
      <c r="C49">
        <v>320</v>
      </c>
      <c r="D49" t="s">
        <v>8</v>
      </c>
      <c r="E49">
        <v>0</v>
      </c>
      <c r="F49"/>
      <c r="G49">
        <v>0</v>
      </c>
    </row>
    <row r="50" spans="1:7" x14ac:dyDescent="0.25">
      <c r="A50">
        <v>1754</v>
      </c>
      <c r="B50" t="s">
        <v>466</v>
      </c>
      <c r="C50">
        <v>210</v>
      </c>
      <c r="D50" t="s">
        <v>9</v>
      </c>
      <c r="E50">
        <v>0</v>
      </c>
      <c r="F50">
        <v>40</v>
      </c>
      <c r="G50">
        <v>0</v>
      </c>
    </row>
    <row r="51" spans="1:7" x14ac:dyDescent="0.25">
      <c r="A51">
        <v>1774</v>
      </c>
      <c r="B51" t="s">
        <v>466</v>
      </c>
      <c r="C51">
        <v>220</v>
      </c>
      <c r="D51" t="s">
        <v>9</v>
      </c>
      <c r="E51"/>
      <c r="F51"/>
      <c r="G51">
        <v>0</v>
      </c>
    </row>
    <row r="52" spans="1:7" x14ac:dyDescent="0.25">
      <c r="A52">
        <v>307</v>
      </c>
      <c r="B52" t="s">
        <v>467</v>
      </c>
      <c r="C52">
        <v>100</v>
      </c>
      <c r="D52" t="s">
        <v>4</v>
      </c>
      <c r="E52">
        <v>0</v>
      </c>
      <c r="F52">
        <v>72</v>
      </c>
      <c r="G52">
        <v>0</v>
      </c>
    </row>
    <row r="53" spans="1:7" x14ac:dyDescent="0.25">
      <c r="A53">
        <v>308</v>
      </c>
      <c r="B53" t="s">
        <v>467</v>
      </c>
      <c r="C53">
        <v>110</v>
      </c>
      <c r="D53" t="s">
        <v>4</v>
      </c>
      <c r="E53">
        <v>0</v>
      </c>
      <c r="F53"/>
      <c r="G53">
        <v>0</v>
      </c>
    </row>
    <row r="54" spans="1:7" x14ac:dyDescent="0.25">
      <c r="A54">
        <v>309</v>
      </c>
      <c r="B54" t="s">
        <v>467</v>
      </c>
      <c r="C54">
        <v>120</v>
      </c>
      <c r="D54" t="s">
        <v>4</v>
      </c>
      <c r="E54">
        <v>2</v>
      </c>
      <c r="F54">
        <v>60</v>
      </c>
      <c r="G54">
        <v>0</v>
      </c>
    </row>
    <row r="55" spans="1:7" x14ac:dyDescent="0.25">
      <c r="A55">
        <v>310</v>
      </c>
      <c r="B55" t="s">
        <v>467</v>
      </c>
      <c r="C55">
        <v>130</v>
      </c>
      <c r="D55" t="s">
        <v>4</v>
      </c>
      <c r="E55">
        <v>0</v>
      </c>
      <c r="F55">
        <v>60</v>
      </c>
      <c r="G55">
        <v>0</v>
      </c>
    </row>
    <row r="56" spans="1:7" x14ac:dyDescent="0.25">
      <c r="A56">
        <v>311</v>
      </c>
      <c r="B56" t="s">
        <v>467</v>
      </c>
      <c r="C56">
        <v>140</v>
      </c>
      <c r="D56" t="s">
        <v>4</v>
      </c>
      <c r="E56">
        <v>1</v>
      </c>
      <c r="F56"/>
      <c r="G56">
        <v>100</v>
      </c>
    </row>
    <row r="57" spans="1:7" x14ac:dyDescent="0.25">
      <c r="A57">
        <v>312</v>
      </c>
      <c r="B57" t="s">
        <v>467</v>
      </c>
      <c r="C57">
        <v>150</v>
      </c>
      <c r="D57" t="s">
        <v>4</v>
      </c>
      <c r="E57">
        <v>0</v>
      </c>
      <c r="F57"/>
      <c r="G57">
        <v>0</v>
      </c>
    </row>
    <row r="58" spans="1:7" x14ac:dyDescent="0.25">
      <c r="A58">
        <v>313</v>
      </c>
      <c r="B58" t="s">
        <v>467</v>
      </c>
      <c r="C58">
        <v>160</v>
      </c>
      <c r="D58" t="s">
        <v>4</v>
      </c>
      <c r="E58">
        <v>0</v>
      </c>
      <c r="F58">
        <v>50</v>
      </c>
      <c r="G58">
        <v>50</v>
      </c>
    </row>
    <row r="59" spans="1:7" x14ac:dyDescent="0.25">
      <c r="A59">
        <v>314</v>
      </c>
      <c r="B59" t="s">
        <v>467</v>
      </c>
      <c r="C59">
        <v>170</v>
      </c>
      <c r="D59" t="s">
        <v>4</v>
      </c>
      <c r="E59">
        <v>0</v>
      </c>
      <c r="F59">
        <v>50</v>
      </c>
      <c r="G59">
        <v>0</v>
      </c>
    </row>
    <row r="60" spans="1:7" x14ac:dyDescent="0.25">
      <c r="A60">
        <v>315</v>
      </c>
      <c r="B60" t="s">
        <v>467</v>
      </c>
      <c r="C60">
        <v>180</v>
      </c>
      <c r="D60" t="s">
        <v>4</v>
      </c>
      <c r="E60">
        <v>0</v>
      </c>
      <c r="F60"/>
      <c r="G60">
        <v>0</v>
      </c>
    </row>
    <row r="61" spans="1:7" x14ac:dyDescent="0.25">
      <c r="A61">
        <v>316</v>
      </c>
      <c r="B61" t="s">
        <v>467</v>
      </c>
      <c r="C61">
        <v>190</v>
      </c>
      <c r="D61" t="s">
        <v>4</v>
      </c>
      <c r="E61">
        <v>0</v>
      </c>
      <c r="F61"/>
      <c r="G61">
        <v>0</v>
      </c>
    </row>
    <row r="62" spans="1:7" x14ac:dyDescent="0.25">
      <c r="A62">
        <v>317</v>
      </c>
      <c r="B62" t="s">
        <v>467</v>
      </c>
      <c r="C62">
        <v>200</v>
      </c>
      <c r="D62" t="s">
        <v>4</v>
      </c>
      <c r="E62">
        <v>0</v>
      </c>
      <c r="F62"/>
      <c r="G62">
        <v>0</v>
      </c>
    </row>
    <row r="63" spans="1:7" x14ac:dyDescent="0.25">
      <c r="A63">
        <v>318</v>
      </c>
      <c r="B63" t="s">
        <v>467</v>
      </c>
      <c r="C63">
        <v>210</v>
      </c>
      <c r="D63" t="s">
        <v>4</v>
      </c>
      <c r="E63"/>
      <c r="F63"/>
      <c r="G63">
        <v>0</v>
      </c>
    </row>
    <row r="64" spans="1:7" x14ac:dyDescent="0.25">
      <c r="A64">
        <v>319</v>
      </c>
      <c r="B64" t="s">
        <v>467</v>
      </c>
      <c r="C64">
        <v>220</v>
      </c>
      <c r="D64" t="s">
        <v>4</v>
      </c>
      <c r="E64">
        <v>0</v>
      </c>
      <c r="F64">
        <v>40</v>
      </c>
      <c r="G64">
        <v>0</v>
      </c>
    </row>
    <row r="65" spans="1:7" x14ac:dyDescent="0.25">
      <c r="A65">
        <v>320</v>
      </c>
      <c r="B65" t="s">
        <v>467</v>
      </c>
      <c r="C65">
        <v>230</v>
      </c>
      <c r="D65" t="s">
        <v>4</v>
      </c>
      <c r="E65">
        <v>0</v>
      </c>
      <c r="F65">
        <v>32</v>
      </c>
      <c r="G65">
        <v>0</v>
      </c>
    </row>
    <row r="66" spans="1:7" x14ac:dyDescent="0.25">
      <c r="A66">
        <v>1690</v>
      </c>
      <c r="B66" t="s">
        <v>467</v>
      </c>
      <c r="C66">
        <v>250</v>
      </c>
      <c r="D66" t="s">
        <v>4</v>
      </c>
      <c r="E66">
        <v>0</v>
      </c>
      <c r="F66"/>
      <c r="G66">
        <v>0</v>
      </c>
    </row>
    <row r="67" spans="1:7" x14ac:dyDescent="0.25">
      <c r="A67">
        <v>339</v>
      </c>
      <c r="B67" t="s">
        <v>467</v>
      </c>
      <c r="C67">
        <v>240</v>
      </c>
      <c r="D67" t="s">
        <v>8</v>
      </c>
      <c r="E67">
        <v>0</v>
      </c>
      <c r="F67">
        <v>40</v>
      </c>
      <c r="G67">
        <v>0</v>
      </c>
    </row>
    <row r="68" spans="1:7" x14ac:dyDescent="0.25">
      <c r="A68">
        <v>63</v>
      </c>
      <c r="B68" t="s">
        <v>467</v>
      </c>
      <c r="C68">
        <v>250</v>
      </c>
      <c r="D68" t="s">
        <v>8</v>
      </c>
      <c r="E68">
        <v>0</v>
      </c>
      <c r="F68">
        <v>32</v>
      </c>
      <c r="G68">
        <v>0</v>
      </c>
    </row>
    <row r="69" spans="1:7" x14ac:dyDescent="0.25">
      <c r="A69">
        <v>340</v>
      </c>
      <c r="B69" t="s">
        <v>467</v>
      </c>
      <c r="C69">
        <v>260</v>
      </c>
      <c r="D69" t="s">
        <v>8</v>
      </c>
      <c r="E69">
        <v>0</v>
      </c>
      <c r="F69"/>
      <c r="G69">
        <v>0</v>
      </c>
    </row>
    <row r="70" spans="1:7" x14ac:dyDescent="0.25">
      <c r="A70">
        <v>341</v>
      </c>
      <c r="B70" t="s">
        <v>467</v>
      </c>
      <c r="C70">
        <v>270</v>
      </c>
      <c r="D70" t="s">
        <v>8</v>
      </c>
      <c r="E70">
        <v>0</v>
      </c>
      <c r="F70"/>
      <c r="G70">
        <v>0</v>
      </c>
    </row>
    <row r="71" spans="1:7" x14ac:dyDescent="0.25">
      <c r="A71">
        <v>342</v>
      </c>
      <c r="B71" t="s">
        <v>467</v>
      </c>
      <c r="C71">
        <v>280</v>
      </c>
      <c r="D71" t="s">
        <v>8</v>
      </c>
      <c r="E71">
        <v>0</v>
      </c>
      <c r="F71"/>
      <c r="G71">
        <v>0</v>
      </c>
    </row>
    <row r="72" spans="1:7" x14ac:dyDescent="0.25">
      <c r="A72">
        <v>343</v>
      </c>
      <c r="B72" t="s">
        <v>467</v>
      </c>
      <c r="C72">
        <v>290</v>
      </c>
      <c r="D72" t="s">
        <v>8</v>
      </c>
      <c r="E72">
        <v>0</v>
      </c>
      <c r="F72"/>
      <c r="G72">
        <v>0</v>
      </c>
    </row>
    <row r="73" spans="1:7" x14ac:dyDescent="0.25">
      <c r="A73">
        <v>344</v>
      </c>
      <c r="B73" t="s">
        <v>467</v>
      </c>
      <c r="C73">
        <v>300</v>
      </c>
      <c r="D73" t="s">
        <v>8</v>
      </c>
      <c r="E73">
        <v>0</v>
      </c>
      <c r="F73"/>
      <c r="G73">
        <v>0</v>
      </c>
    </row>
    <row r="74" spans="1:7" x14ac:dyDescent="0.25">
      <c r="A74">
        <v>345</v>
      </c>
      <c r="B74" t="s">
        <v>467</v>
      </c>
      <c r="C74">
        <v>310</v>
      </c>
      <c r="D74" t="s">
        <v>8</v>
      </c>
      <c r="E74">
        <v>0</v>
      </c>
      <c r="F74"/>
      <c r="G74">
        <v>0</v>
      </c>
    </row>
    <row r="75" spans="1:7" x14ac:dyDescent="0.25">
      <c r="A75">
        <v>346</v>
      </c>
      <c r="B75" t="s">
        <v>467</v>
      </c>
      <c r="C75">
        <v>320</v>
      </c>
      <c r="D75" t="s">
        <v>8</v>
      </c>
      <c r="E75">
        <v>0</v>
      </c>
      <c r="F75"/>
      <c r="G75">
        <v>0</v>
      </c>
    </row>
    <row r="76" spans="1:7" x14ac:dyDescent="0.25">
      <c r="A76">
        <v>347</v>
      </c>
      <c r="B76" t="s">
        <v>467</v>
      </c>
      <c r="C76">
        <v>330</v>
      </c>
      <c r="D76" t="s">
        <v>8</v>
      </c>
      <c r="E76">
        <v>0</v>
      </c>
      <c r="F76"/>
      <c r="G76">
        <v>0</v>
      </c>
    </row>
    <row r="77" spans="1:7" x14ac:dyDescent="0.25">
      <c r="A77">
        <v>348</v>
      </c>
      <c r="B77" t="s">
        <v>467</v>
      </c>
      <c r="C77">
        <v>340</v>
      </c>
      <c r="D77" t="s">
        <v>8</v>
      </c>
      <c r="E77">
        <v>0</v>
      </c>
      <c r="F77"/>
      <c r="G77">
        <v>0</v>
      </c>
    </row>
    <row r="78" spans="1:7" x14ac:dyDescent="0.25">
      <c r="A78">
        <v>1700</v>
      </c>
      <c r="B78" t="s">
        <v>468</v>
      </c>
      <c r="C78">
        <v>240</v>
      </c>
      <c r="D78" t="s">
        <v>9</v>
      </c>
      <c r="E78">
        <v>0</v>
      </c>
      <c r="F78"/>
      <c r="G78">
        <v>0</v>
      </c>
    </row>
    <row r="79" spans="1:7" x14ac:dyDescent="0.25">
      <c r="A79">
        <v>1697</v>
      </c>
      <c r="B79" t="s">
        <v>468</v>
      </c>
      <c r="C79">
        <v>250</v>
      </c>
      <c r="D79" t="s">
        <v>9</v>
      </c>
      <c r="E79">
        <v>0</v>
      </c>
      <c r="F79"/>
      <c r="G79">
        <v>0</v>
      </c>
    </row>
    <row r="80" spans="1:7" x14ac:dyDescent="0.25">
      <c r="A80">
        <v>321</v>
      </c>
      <c r="B80" t="s">
        <v>469</v>
      </c>
      <c r="C80">
        <v>100</v>
      </c>
      <c r="D80" t="s">
        <v>4</v>
      </c>
      <c r="E80">
        <v>0</v>
      </c>
      <c r="F80">
        <v>72</v>
      </c>
      <c r="G80">
        <v>0</v>
      </c>
    </row>
    <row r="81" spans="1:7" x14ac:dyDescent="0.25">
      <c r="A81">
        <v>322</v>
      </c>
      <c r="B81" t="s">
        <v>469</v>
      </c>
      <c r="C81">
        <v>110</v>
      </c>
      <c r="D81" t="s">
        <v>4</v>
      </c>
      <c r="E81">
        <v>0</v>
      </c>
      <c r="F81">
        <v>72</v>
      </c>
      <c r="G81">
        <v>0</v>
      </c>
    </row>
    <row r="82" spans="1:7" x14ac:dyDescent="0.25">
      <c r="A82">
        <v>323</v>
      </c>
      <c r="B82" t="s">
        <v>469</v>
      </c>
      <c r="C82">
        <v>120</v>
      </c>
      <c r="D82" t="s">
        <v>4</v>
      </c>
      <c r="E82">
        <v>0</v>
      </c>
      <c r="F82">
        <v>60</v>
      </c>
      <c r="G82">
        <v>50</v>
      </c>
    </row>
    <row r="83" spans="1:7" x14ac:dyDescent="0.25">
      <c r="A83">
        <v>324</v>
      </c>
      <c r="B83" t="s">
        <v>469</v>
      </c>
      <c r="C83">
        <v>130</v>
      </c>
      <c r="D83" t="s">
        <v>4</v>
      </c>
      <c r="E83"/>
      <c r="F83">
        <v>60</v>
      </c>
      <c r="G83">
        <v>0</v>
      </c>
    </row>
    <row r="84" spans="1:7" x14ac:dyDescent="0.25">
      <c r="A84">
        <v>325</v>
      </c>
      <c r="B84" t="s">
        <v>469</v>
      </c>
      <c r="C84">
        <v>140</v>
      </c>
      <c r="D84" t="s">
        <v>4</v>
      </c>
      <c r="E84">
        <v>0</v>
      </c>
      <c r="F84">
        <v>50</v>
      </c>
      <c r="G84">
        <v>0</v>
      </c>
    </row>
    <row r="85" spans="1:7" x14ac:dyDescent="0.25">
      <c r="A85">
        <v>326</v>
      </c>
      <c r="B85" t="s">
        <v>469</v>
      </c>
      <c r="C85">
        <v>150</v>
      </c>
      <c r="D85" t="s">
        <v>4</v>
      </c>
      <c r="E85">
        <v>0</v>
      </c>
      <c r="F85">
        <v>50</v>
      </c>
      <c r="G85">
        <v>0</v>
      </c>
    </row>
    <row r="86" spans="1:7" x14ac:dyDescent="0.25">
      <c r="A86">
        <v>327</v>
      </c>
      <c r="B86" t="s">
        <v>469</v>
      </c>
      <c r="C86">
        <v>160</v>
      </c>
      <c r="D86" t="s">
        <v>4</v>
      </c>
      <c r="E86">
        <v>0</v>
      </c>
      <c r="F86">
        <v>50</v>
      </c>
      <c r="G86">
        <v>0</v>
      </c>
    </row>
    <row r="87" spans="1:7" x14ac:dyDescent="0.25">
      <c r="A87">
        <v>328</v>
      </c>
      <c r="B87" t="s">
        <v>469</v>
      </c>
      <c r="C87">
        <v>170</v>
      </c>
      <c r="D87" t="s">
        <v>4</v>
      </c>
      <c r="E87">
        <v>2</v>
      </c>
      <c r="F87">
        <v>50</v>
      </c>
      <c r="G87">
        <v>72</v>
      </c>
    </row>
    <row r="88" spans="1:7" x14ac:dyDescent="0.25">
      <c r="A88">
        <v>329</v>
      </c>
      <c r="B88" t="s">
        <v>469</v>
      </c>
      <c r="C88">
        <v>180</v>
      </c>
      <c r="D88" t="s">
        <v>4</v>
      </c>
      <c r="E88">
        <v>0</v>
      </c>
      <c r="F88">
        <v>50</v>
      </c>
      <c r="G88">
        <v>72</v>
      </c>
    </row>
    <row r="89" spans="1:7" x14ac:dyDescent="0.25">
      <c r="A89">
        <v>330</v>
      </c>
      <c r="B89" t="s">
        <v>469</v>
      </c>
      <c r="C89">
        <v>190</v>
      </c>
      <c r="D89" t="s">
        <v>4</v>
      </c>
      <c r="E89">
        <v>0</v>
      </c>
      <c r="F89">
        <v>90</v>
      </c>
      <c r="G89">
        <v>0</v>
      </c>
    </row>
    <row r="90" spans="1:7" x14ac:dyDescent="0.25">
      <c r="A90">
        <v>331</v>
      </c>
      <c r="B90" t="s">
        <v>469</v>
      </c>
      <c r="C90">
        <v>200</v>
      </c>
      <c r="D90" t="s">
        <v>4</v>
      </c>
      <c r="E90">
        <v>0</v>
      </c>
      <c r="F90"/>
      <c r="G90">
        <v>0</v>
      </c>
    </row>
    <row r="91" spans="1:7" x14ac:dyDescent="0.25">
      <c r="A91">
        <v>332</v>
      </c>
      <c r="B91" t="s">
        <v>469</v>
      </c>
      <c r="C91">
        <v>210</v>
      </c>
      <c r="D91" t="s">
        <v>4</v>
      </c>
      <c r="E91">
        <v>4</v>
      </c>
      <c r="F91"/>
      <c r="G91">
        <v>0</v>
      </c>
    </row>
    <row r="92" spans="1:7" x14ac:dyDescent="0.25">
      <c r="A92">
        <v>333</v>
      </c>
      <c r="B92" t="s">
        <v>469</v>
      </c>
      <c r="C92">
        <v>220</v>
      </c>
      <c r="D92" t="s">
        <v>4</v>
      </c>
      <c r="E92">
        <v>0</v>
      </c>
      <c r="F92">
        <v>50</v>
      </c>
      <c r="G92">
        <v>120</v>
      </c>
    </row>
    <row r="93" spans="1:7" x14ac:dyDescent="0.25">
      <c r="A93">
        <v>334</v>
      </c>
      <c r="B93" t="s">
        <v>469</v>
      </c>
      <c r="C93">
        <v>230</v>
      </c>
      <c r="D93" t="s">
        <v>4</v>
      </c>
      <c r="E93">
        <v>0</v>
      </c>
      <c r="F93"/>
      <c r="G93">
        <v>0</v>
      </c>
    </row>
    <row r="94" spans="1:7" x14ac:dyDescent="0.25">
      <c r="A94">
        <v>335</v>
      </c>
      <c r="B94" t="s">
        <v>469</v>
      </c>
      <c r="C94">
        <v>240</v>
      </c>
      <c r="D94" t="s">
        <v>4</v>
      </c>
      <c r="E94">
        <v>0</v>
      </c>
      <c r="F94">
        <v>40</v>
      </c>
      <c r="G94">
        <v>0</v>
      </c>
    </row>
    <row r="95" spans="1:7" x14ac:dyDescent="0.25">
      <c r="A95">
        <v>336</v>
      </c>
      <c r="B95" t="s">
        <v>469</v>
      </c>
      <c r="C95">
        <v>250</v>
      </c>
      <c r="D95" t="s">
        <v>4</v>
      </c>
      <c r="E95">
        <v>0</v>
      </c>
      <c r="F95">
        <v>40</v>
      </c>
      <c r="G95">
        <v>0</v>
      </c>
    </row>
    <row r="96" spans="1:7" x14ac:dyDescent="0.25">
      <c r="A96">
        <v>337</v>
      </c>
      <c r="B96" t="s">
        <v>469</v>
      </c>
      <c r="C96">
        <v>260</v>
      </c>
      <c r="D96" t="s">
        <v>4</v>
      </c>
      <c r="E96">
        <v>2</v>
      </c>
      <c r="F96">
        <v>32</v>
      </c>
      <c r="G96">
        <v>0</v>
      </c>
    </row>
    <row r="97" spans="1:7" x14ac:dyDescent="0.25">
      <c r="A97">
        <v>1699</v>
      </c>
      <c r="B97" t="s">
        <v>469</v>
      </c>
      <c r="C97">
        <v>190</v>
      </c>
      <c r="D97" t="s">
        <v>8</v>
      </c>
      <c r="E97">
        <v>0</v>
      </c>
      <c r="F97"/>
      <c r="G97">
        <v>50</v>
      </c>
    </row>
    <row r="98" spans="1:7" x14ac:dyDescent="0.25">
      <c r="A98">
        <v>1773</v>
      </c>
      <c r="B98" t="s">
        <v>469</v>
      </c>
      <c r="C98">
        <v>210</v>
      </c>
      <c r="D98" t="s">
        <v>8</v>
      </c>
      <c r="E98">
        <v>3</v>
      </c>
      <c r="F98">
        <v>40</v>
      </c>
      <c r="G98">
        <v>20</v>
      </c>
    </row>
    <row r="99" spans="1:7" x14ac:dyDescent="0.25">
      <c r="A99">
        <v>349</v>
      </c>
      <c r="B99" t="s">
        <v>469</v>
      </c>
      <c r="C99">
        <v>270</v>
      </c>
      <c r="D99" t="s">
        <v>8</v>
      </c>
      <c r="E99">
        <v>0</v>
      </c>
      <c r="F99">
        <v>32</v>
      </c>
      <c r="G99">
        <v>0</v>
      </c>
    </row>
    <row r="100" spans="1:7" x14ac:dyDescent="0.25">
      <c r="A100">
        <v>350</v>
      </c>
      <c r="B100" t="s">
        <v>469</v>
      </c>
      <c r="C100">
        <v>280</v>
      </c>
      <c r="D100" t="s">
        <v>8</v>
      </c>
      <c r="E100">
        <v>0</v>
      </c>
      <c r="F100"/>
      <c r="G100">
        <v>0</v>
      </c>
    </row>
    <row r="101" spans="1:7" x14ac:dyDescent="0.25">
      <c r="A101">
        <v>351</v>
      </c>
      <c r="B101" t="s">
        <v>469</v>
      </c>
      <c r="C101">
        <v>290</v>
      </c>
      <c r="D101" t="s">
        <v>8</v>
      </c>
      <c r="E101">
        <v>0</v>
      </c>
      <c r="F101"/>
      <c r="G101">
        <v>0</v>
      </c>
    </row>
    <row r="102" spans="1:7" x14ac:dyDescent="0.25">
      <c r="A102">
        <v>352</v>
      </c>
      <c r="B102" t="s">
        <v>469</v>
      </c>
      <c r="C102">
        <v>300</v>
      </c>
      <c r="D102" t="s">
        <v>8</v>
      </c>
      <c r="E102">
        <v>0</v>
      </c>
      <c r="F102"/>
      <c r="G102">
        <v>0</v>
      </c>
    </row>
    <row r="103" spans="1:7" x14ac:dyDescent="0.25">
      <c r="A103">
        <v>353</v>
      </c>
      <c r="B103" t="s">
        <v>469</v>
      </c>
      <c r="C103">
        <v>310</v>
      </c>
      <c r="D103" t="s">
        <v>8</v>
      </c>
      <c r="E103">
        <v>0</v>
      </c>
      <c r="F103"/>
      <c r="G103">
        <v>0</v>
      </c>
    </row>
    <row r="104" spans="1:7" x14ac:dyDescent="0.25">
      <c r="A104">
        <v>354</v>
      </c>
      <c r="B104" t="s">
        <v>469</v>
      </c>
      <c r="C104">
        <v>320</v>
      </c>
      <c r="D104" t="s">
        <v>8</v>
      </c>
      <c r="E104">
        <v>1</v>
      </c>
      <c r="F104"/>
      <c r="G104">
        <v>0</v>
      </c>
    </row>
    <row r="105" spans="1:7" x14ac:dyDescent="0.25">
      <c r="A105">
        <v>355</v>
      </c>
      <c r="B105" t="s">
        <v>469</v>
      </c>
      <c r="C105">
        <v>330</v>
      </c>
      <c r="D105" t="s">
        <v>8</v>
      </c>
      <c r="E105">
        <v>0</v>
      </c>
      <c r="F105"/>
      <c r="G105">
        <v>30</v>
      </c>
    </row>
    <row r="106" spans="1:7" x14ac:dyDescent="0.25">
      <c r="A106">
        <v>356</v>
      </c>
      <c r="B106" t="s">
        <v>469</v>
      </c>
      <c r="C106">
        <v>340</v>
      </c>
      <c r="D106" t="s">
        <v>8</v>
      </c>
      <c r="E106">
        <v>0</v>
      </c>
      <c r="F106"/>
      <c r="G106">
        <v>0</v>
      </c>
    </row>
    <row r="107" spans="1:7" x14ac:dyDescent="0.25">
      <c r="A107">
        <v>73</v>
      </c>
      <c r="B107" t="s">
        <v>469</v>
      </c>
      <c r="C107">
        <v>270</v>
      </c>
      <c r="D107" t="s">
        <v>9</v>
      </c>
      <c r="E107">
        <v>0</v>
      </c>
      <c r="F107">
        <v>32</v>
      </c>
      <c r="G107">
        <v>0</v>
      </c>
    </row>
    <row r="108" spans="1:7" x14ac:dyDescent="0.25">
      <c r="A108">
        <v>74</v>
      </c>
      <c r="B108" t="s">
        <v>469</v>
      </c>
      <c r="C108">
        <v>280</v>
      </c>
      <c r="D108" t="s">
        <v>9</v>
      </c>
      <c r="E108">
        <v>0</v>
      </c>
      <c r="F108"/>
      <c r="G108">
        <v>0</v>
      </c>
    </row>
    <row r="109" spans="1:7" x14ac:dyDescent="0.25">
      <c r="A109">
        <v>75</v>
      </c>
      <c r="B109" t="s">
        <v>469</v>
      </c>
      <c r="C109">
        <v>290</v>
      </c>
      <c r="D109" t="s">
        <v>9</v>
      </c>
      <c r="E109">
        <v>0</v>
      </c>
      <c r="F109">
        <v>32</v>
      </c>
      <c r="G109">
        <v>0</v>
      </c>
    </row>
    <row r="110" spans="1:7" x14ac:dyDescent="0.25">
      <c r="A110">
        <v>76</v>
      </c>
      <c r="B110" t="s">
        <v>469</v>
      </c>
      <c r="C110">
        <v>300</v>
      </c>
      <c r="D110" t="s">
        <v>9</v>
      </c>
      <c r="E110">
        <v>0</v>
      </c>
      <c r="F110"/>
      <c r="G110">
        <v>0</v>
      </c>
    </row>
    <row r="111" spans="1:7" x14ac:dyDescent="0.25">
      <c r="A111">
        <v>77</v>
      </c>
      <c r="B111" t="s">
        <v>469</v>
      </c>
      <c r="C111">
        <v>310</v>
      </c>
      <c r="D111" t="s">
        <v>9</v>
      </c>
      <c r="E111">
        <v>0</v>
      </c>
      <c r="F111"/>
      <c r="G111">
        <v>0</v>
      </c>
    </row>
    <row r="112" spans="1:7" x14ac:dyDescent="0.25">
      <c r="A112">
        <v>78</v>
      </c>
      <c r="B112" t="s">
        <v>469</v>
      </c>
      <c r="C112">
        <v>320</v>
      </c>
      <c r="D112" t="s">
        <v>9</v>
      </c>
      <c r="E112">
        <v>0</v>
      </c>
      <c r="F112"/>
      <c r="G112">
        <v>0</v>
      </c>
    </row>
    <row r="113" spans="1:7" x14ac:dyDescent="0.25">
      <c r="A113">
        <v>79</v>
      </c>
      <c r="B113" t="s">
        <v>469</v>
      </c>
      <c r="C113">
        <v>330</v>
      </c>
      <c r="D113" t="s">
        <v>9</v>
      </c>
      <c r="E113">
        <v>0</v>
      </c>
      <c r="F113"/>
      <c r="G113">
        <v>0</v>
      </c>
    </row>
    <row r="114" spans="1:7" x14ac:dyDescent="0.25">
      <c r="A114">
        <v>80</v>
      </c>
      <c r="B114" t="s">
        <v>469</v>
      </c>
      <c r="C114">
        <v>340</v>
      </c>
      <c r="D114" t="s">
        <v>9</v>
      </c>
      <c r="E114">
        <v>0</v>
      </c>
      <c r="F114"/>
      <c r="G114">
        <v>0</v>
      </c>
    </row>
    <row r="115" spans="1:7" x14ac:dyDescent="0.25">
      <c r="A115">
        <v>81</v>
      </c>
      <c r="B115" t="s">
        <v>470</v>
      </c>
      <c r="C115">
        <v>170</v>
      </c>
      <c r="D115" t="s">
        <v>4</v>
      </c>
      <c r="E115">
        <v>0</v>
      </c>
      <c r="F115"/>
      <c r="G115">
        <v>0</v>
      </c>
    </row>
    <row r="116" spans="1:7" x14ac:dyDescent="0.25">
      <c r="A116">
        <v>82</v>
      </c>
      <c r="B116" t="s">
        <v>470</v>
      </c>
      <c r="C116">
        <v>180</v>
      </c>
      <c r="D116" t="s">
        <v>4</v>
      </c>
      <c r="E116">
        <v>0</v>
      </c>
      <c r="F116">
        <v>33</v>
      </c>
      <c r="G116">
        <v>0</v>
      </c>
    </row>
    <row r="117" spans="1:7" x14ac:dyDescent="0.25">
      <c r="A117">
        <v>83</v>
      </c>
      <c r="B117" t="s">
        <v>470</v>
      </c>
      <c r="C117">
        <v>190</v>
      </c>
      <c r="D117" t="s">
        <v>4</v>
      </c>
      <c r="E117">
        <v>0</v>
      </c>
      <c r="F117"/>
      <c r="G117">
        <v>0</v>
      </c>
    </row>
    <row r="118" spans="1:7" x14ac:dyDescent="0.25">
      <c r="A118">
        <v>84</v>
      </c>
      <c r="B118" t="s">
        <v>470</v>
      </c>
      <c r="C118">
        <v>200</v>
      </c>
      <c r="D118" t="s">
        <v>4</v>
      </c>
      <c r="E118">
        <v>93</v>
      </c>
      <c r="F118">
        <v>36</v>
      </c>
      <c r="G118">
        <v>60</v>
      </c>
    </row>
    <row r="119" spans="1:7" x14ac:dyDescent="0.25">
      <c r="A119">
        <v>85</v>
      </c>
      <c r="B119" t="s">
        <v>470</v>
      </c>
      <c r="C119">
        <v>210</v>
      </c>
      <c r="D119" t="s">
        <v>4</v>
      </c>
      <c r="E119">
        <v>0</v>
      </c>
      <c r="F119">
        <v>36</v>
      </c>
      <c r="G119">
        <v>0</v>
      </c>
    </row>
    <row r="120" spans="1:7" x14ac:dyDescent="0.25">
      <c r="A120">
        <v>86</v>
      </c>
      <c r="B120" t="s">
        <v>470</v>
      </c>
      <c r="C120">
        <v>220</v>
      </c>
      <c r="D120" t="s">
        <v>4</v>
      </c>
      <c r="E120">
        <v>0</v>
      </c>
      <c r="F120">
        <v>30</v>
      </c>
      <c r="G120">
        <v>0</v>
      </c>
    </row>
    <row r="121" spans="1:7" x14ac:dyDescent="0.25">
      <c r="A121">
        <v>87</v>
      </c>
      <c r="B121" t="s">
        <v>470</v>
      </c>
      <c r="C121">
        <v>230</v>
      </c>
      <c r="D121" t="s">
        <v>4</v>
      </c>
      <c r="E121">
        <v>0</v>
      </c>
      <c r="F121"/>
      <c r="G121">
        <v>120</v>
      </c>
    </row>
    <row r="122" spans="1:7" x14ac:dyDescent="0.25">
      <c r="A122">
        <v>88</v>
      </c>
      <c r="B122" t="s">
        <v>470</v>
      </c>
      <c r="C122">
        <v>240</v>
      </c>
      <c r="D122" t="s">
        <v>4</v>
      </c>
      <c r="E122">
        <v>0</v>
      </c>
      <c r="F122">
        <v>30</v>
      </c>
      <c r="G122">
        <v>0</v>
      </c>
    </row>
    <row r="123" spans="1:7" x14ac:dyDescent="0.25">
      <c r="A123">
        <v>89</v>
      </c>
      <c r="B123" t="s">
        <v>470</v>
      </c>
      <c r="C123">
        <v>250</v>
      </c>
      <c r="D123" t="s">
        <v>4</v>
      </c>
      <c r="E123">
        <v>0</v>
      </c>
      <c r="F123">
        <v>30</v>
      </c>
      <c r="G123">
        <v>0</v>
      </c>
    </row>
    <row r="124" spans="1:7" x14ac:dyDescent="0.25">
      <c r="A124">
        <v>90</v>
      </c>
      <c r="B124" t="s">
        <v>470</v>
      </c>
      <c r="C124">
        <v>260</v>
      </c>
      <c r="D124" t="s">
        <v>4</v>
      </c>
      <c r="E124">
        <v>0</v>
      </c>
      <c r="F124"/>
      <c r="G124">
        <v>25</v>
      </c>
    </row>
    <row r="125" spans="1:7" x14ac:dyDescent="0.25">
      <c r="A125">
        <v>91</v>
      </c>
      <c r="B125" t="s">
        <v>470</v>
      </c>
      <c r="C125">
        <v>270</v>
      </c>
      <c r="D125" t="s">
        <v>4</v>
      </c>
      <c r="E125">
        <v>0</v>
      </c>
      <c r="F125"/>
      <c r="G125">
        <v>0</v>
      </c>
    </row>
    <row r="126" spans="1:7" x14ac:dyDescent="0.25">
      <c r="A126">
        <v>92</v>
      </c>
      <c r="B126" t="s">
        <v>470</v>
      </c>
      <c r="C126">
        <v>280</v>
      </c>
      <c r="D126" t="s">
        <v>4</v>
      </c>
      <c r="E126">
        <v>0</v>
      </c>
      <c r="F126"/>
      <c r="G126">
        <v>0</v>
      </c>
    </row>
    <row r="127" spans="1:7" x14ac:dyDescent="0.25">
      <c r="A127">
        <v>93</v>
      </c>
      <c r="B127" t="s">
        <v>470</v>
      </c>
      <c r="C127">
        <v>290</v>
      </c>
      <c r="D127" t="s">
        <v>4</v>
      </c>
      <c r="E127">
        <v>0</v>
      </c>
      <c r="F127"/>
      <c r="G127">
        <v>0</v>
      </c>
    </row>
    <row r="128" spans="1:7" x14ac:dyDescent="0.25">
      <c r="A128">
        <v>94</v>
      </c>
      <c r="B128" t="s">
        <v>470</v>
      </c>
      <c r="C128">
        <v>300</v>
      </c>
      <c r="D128" t="s">
        <v>4</v>
      </c>
      <c r="E128">
        <v>0</v>
      </c>
      <c r="F128">
        <v>25</v>
      </c>
      <c r="G128">
        <v>20</v>
      </c>
    </row>
    <row r="129" spans="1:7" x14ac:dyDescent="0.25">
      <c r="A129">
        <v>95</v>
      </c>
      <c r="B129" t="s">
        <v>470</v>
      </c>
      <c r="C129">
        <v>310</v>
      </c>
      <c r="D129" t="s">
        <v>4</v>
      </c>
      <c r="E129">
        <v>0</v>
      </c>
      <c r="F129"/>
      <c r="G129">
        <v>0</v>
      </c>
    </row>
    <row r="130" spans="1:7" x14ac:dyDescent="0.25">
      <c r="A130">
        <v>96</v>
      </c>
      <c r="B130" t="s">
        <v>470</v>
      </c>
      <c r="C130">
        <v>320</v>
      </c>
      <c r="D130" t="s">
        <v>4</v>
      </c>
      <c r="E130">
        <v>0</v>
      </c>
      <c r="F130">
        <v>20</v>
      </c>
      <c r="G130">
        <v>0</v>
      </c>
    </row>
    <row r="131" spans="1:7" x14ac:dyDescent="0.25">
      <c r="A131">
        <v>97</v>
      </c>
      <c r="B131" t="s">
        <v>470</v>
      </c>
      <c r="C131">
        <v>330</v>
      </c>
      <c r="D131" t="s">
        <v>4</v>
      </c>
      <c r="E131">
        <v>0</v>
      </c>
      <c r="F131"/>
      <c r="G131">
        <v>0</v>
      </c>
    </row>
    <row r="132" spans="1:7" x14ac:dyDescent="0.25">
      <c r="A132">
        <v>129</v>
      </c>
      <c r="B132" t="s">
        <v>470</v>
      </c>
      <c r="C132">
        <v>340</v>
      </c>
      <c r="D132" t="s">
        <v>8</v>
      </c>
      <c r="E132">
        <v>0</v>
      </c>
      <c r="F132">
        <v>20</v>
      </c>
      <c r="G132">
        <v>0</v>
      </c>
    </row>
    <row r="133" spans="1:7" x14ac:dyDescent="0.25">
      <c r="A133">
        <v>130</v>
      </c>
      <c r="B133" t="s">
        <v>470</v>
      </c>
      <c r="C133">
        <v>350</v>
      </c>
      <c r="D133" t="s">
        <v>8</v>
      </c>
      <c r="E133">
        <v>0</v>
      </c>
      <c r="F133"/>
      <c r="G133">
        <v>0</v>
      </c>
    </row>
    <row r="134" spans="1:7" x14ac:dyDescent="0.25">
      <c r="A134">
        <v>131</v>
      </c>
      <c r="B134" t="s">
        <v>470</v>
      </c>
      <c r="C134">
        <v>360</v>
      </c>
      <c r="D134" t="s">
        <v>8</v>
      </c>
      <c r="E134">
        <v>13</v>
      </c>
      <c r="F134"/>
      <c r="G134">
        <v>0</v>
      </c>
    </row>
    <row r="135" spans="1:7" x14ac:dyDescent="0.25">
      <c r="A135">
        <v>132</v>
      </c>
      <c r="B135" t="s">
        <v>470</v>
      </c>
      <c r="C135">
        <v>370</v>
      </c>
      <c r="D135" t="s">
        <v>8</v>
      </c>
      <c r="E135">
        <v>0</v>
      </c>
      <c r="F135">
        <v>20</v>
      </c>
      <c r="G135">
        <v>140</v>
      </c>
    </row>
    <row r="136" spans="1:7" x14ac:dyDescent="0.25">
      <c r="A136">
        <v>133</v>
      </c>
      <c r="B136" t="s">
        <v>470</v>
      </c>
      <c r="C136">
        <v>380</v>
      </c>
      <c r="D136" t="s">
        <v>8</v>
      </c>
      <c r="E136">
        <v>0</v>
      </c>
      <c r="F136"/>
      <c r="G136">
        <v>0</v>
      </c>
    </row>
    <row r="137" spans="1:7" x14ac:dyDescent="0.25">
      <c r="A137">
        <v>134</v>
      </c>
      <c r="B137" t="s">
        <v>470</v>
      </c>
      <c r="C137">
        <v>390</v>
      </c>
      <c r="D137" t="s">
        <v>8</v>
      </c>
      <c r="E137">
        <v>0</v>
      </c>
      <c r="F137"/>
      <c r="G137">
        <v>0</v>
      </c>
    </row>
    <row r="138" spans="1:7" x14ac:dyDescent="0.25">
      <c r="A138">
        <v>135</v>
      </c>
      <c r="B138" t="s">
        <v>470</v>
      </c>
      <c r="C138">
        <v>400</v>
      </c>
      <c r="D138" t="s">
        <v>8</v>
      </c>
      <c r="E138">
        <v>0</v>
      </c>
      <c r="F138"/>
      <c r="G138">
        <v>0</v>
      </c>
    </row>
    <row r="139" spans="1:7" x14ac:dyDescent="0.25">
      <c r="A139">
        <v>136</v>
      </c>
      <c r="B139" t="s">
        <v>470</v>
      </c>
      <c r="C139">
        <v>410</v>
      </c>
      <c r="D139" t="s">
        <v>8</v>
      </c>
      <c r="E139"/>
      <c r="F139"/>
      <c r="G139">
        <v>0</v>
      </c>
    </row>
    <row r="140" spans="1:7" x14ac:dyDescent="0.25">
      <c r="A140">
        <v>1775</v>
      </c>
      <c r="B140" t="s">
        <v>470</v>
      </c>
      <c r="C140">
        <v>400</v>
      </c>
      <c r="D140" t="s">
        <v>9</v>
      </c>
      <c r="E140"/>
      <c r="F140"/>
      <c r="G140">
        <v>0</v>
      </c>
    </row>
    <row r="141" spans="1:7" x14ac:dyDescent="0.25">
      <c r="A141">
        <v>1776</v>
      </c>
      <c r="B141" t="s">
        <v>470</v>
      </c>
      <c r="C141">
        <v>410</v>
      </c>
      <c r="D141" t="s">
        <v>9</v>
      </c>
      <c r="E141"/>
      <c r="F141"/>
      <c r="G141">
        <v>0</v>
      </c>
    </row>
    <row r="142" spans="1:7" x14ac:dyDescent="0.25">
      <c r="A142">
        <v>1777</v>
      </c>
      <c r="B142" t="s">
        <v>470</v>
      </c>
      <c r="C142">
        <v>420</v>
      </c>
      <c r="D142" t="s">
        <v>9</v>
      </c>
      <c r="E142">
        <v>1</v>
      </c>
      <c r="F142"/>
      <c r="G142">
        <v>0</v>
      </c>
    </row>
    <row r="143" spans="1:7" x14ac:dyDescent="0.25">
      <c r="A143">
        <v>357</v>
      </c>
      <c r="B143" t="s">
        <v>471</v>
      </c>
      <c r="C143">
        <v>210</v>
      </c>
      <c r="D143" t="s">
        <v>4</v>
      </c>
      <c r="E143">
        <v>0</v>
      </c>
      <c r="F143">
        <v>36</v>
      </c>
      <c r="G143">
        <v>20</v>
      </c>
    </row>
    <row r="144" spans="1:7" x14ac:dyDescent="0.25">
      <c r="A144">
        <v>358</v>
      </c>
      <c r="B144" t="s">
        <v>471</v>
      </c>
      <c r="C144">
        <v>220</v>
      </c>
      <c r="D144" t="s">
        <v>4</v>
      </c>
      <c r="E144"/>
      <c r="F144"/>
      <c r="G144">
        <v>0</v>
      </c>
    </row>
    <row r="145" spans="1:7" x14ac:dyDescent="0.25">
      <c r="A145">
        <v>261</v>
      </c>
      <c r="B145" t="s">
        <v>471</v>
      </c>
      <c r="C145">
        <v>230</v>
      </c>
      <c r="D145" t="s">
        <v>4</v>
      </c>
      <c r="E145"/>
      <c r="F145"/>
      <c r="G145">
        <v>0</v>
      </c>
    </row>
    <row r="146" spans="1:7" x14ac:dyDescent="0.25">
      <c r="A146">
        <v>262</v>
      </c>
      <c r="B146" t="s">
        <v>471</v>
      </c>
      <c r="C146">
        <v>240</v>
      </c>
      <c r="D146" t="s">
        <v>4</v>
      </c>
      <c r="E146">
        <v>0</v>
      </c>
      <c r="F146"/>
      <c r="G146">
        <v>0</v>
      </c>
    </row>
    <row r="147" spans="1:7" x14ac:dyDescent="0.25">
      <c r="A147">
        <v>263</v>
      </c>
      <c r="B147" t="s">
        <v>471</v>
      </c>
      <c r="C147">
        <v>250</v>
      </c>
      <c r="D147" t="s">
        <v>4</v>
      </c>
      <c r="E147">
        <v>5</v>
      </c>
      <c r="F147">
        <v>30</v>
      </c>
      <c r="G147">
        <v>0</v>
      </c>
    </row>
    <row r="148" spans="1:7" x14ac:dyDescent="0.25">
      <c r="A148">
        <v>264</v>
      </c>
      <c r="B148" t="s">
        <v>471</v>
      </c>
      <c r="C148">
        <v>260</v>
      </c>
      <c r="D148" t="s">
        <v>4</v>
      </c>
      <c r="E148">
        <v>10</v>
      </c>
      <c r="F148">
        <v>20</v>
      </c>
      <c r="G148">
        <v>0</v>
      </c>
    </row>
    <row r="149" spans="1:7" x14ac:dyDescent="0.25">
      <c r="A149">
        <v>265</v>
      </c>
      <c r="B149" t="s">
        <v>471</v>
      </c>
      <c r="C149">
        <v>270</v>
      </c>
      <c r="D149" t="s">
        <v>4</v>
      </c>
      <c r="E149">
        <v>0</v>
      </c>
      <c r="F149"/>
      <c r="G149">
        <v>0</v>
      </c>
    </row>
    <row r="150" spans="1:7" x14ac:dyDescent="0.25">
      <c r="A150">
        <v>266</v>
      </c>
      <c r="B150" t="s">
        <v>471</v>
      </c>
      <c r="C150">
        <v>280</v>
      </c>
      <c r="D150" t="s">
        <v>4</v>
      </c>
      <c r="E150">
        <v>1</v>
      </c>
      <c r="F150">
        <v>30</v>
      </c>
      <c r="G150">
        <v>0</v>
      </c>
    </row>
    <row r="151" spans="1:7" x14ac:dyDescent="0.25">
      <c r="A151">
        <v>267</v>
      </c>
      <c r="B151" t="s">
        <v>471</v>
      </c>
      <c r="C151">
        <v>290</v>
      </c>
      <c r="D151" t="s">
        <v>4</v>
      </c>
      <c r="E151">
        <v>0</v>
      </c>
      <c r="F151"/>
      <c r="G151">
        <v>72</v>
      </c>
    </row>
    <row r="152" spans="1:7" x14ac:dyDescent="0.25">
      <c r="A152">
        <v>268</v>
      </c>
      <c r="B152" t="s">
        <v>471</v>
      </c>
      <c r="C152">
        <v>300</v>
      </c>
      <c r="D152" t="s">
        <v>4</v>
      </c>
      <c r="E152">
        <v>0</v>
      </c>
      <c r="F152"/>
      <c r="G152">
        <v>0</v>
      </c>
    </row>
    <row r="153" spans="1:7" x14ac:dyDescent="0.25">
      <c r="A153">
        <v>269</v>
      </c>
      <c r="B153" t="s">
        <v>471</v>
      </c>
      <c r="C153">
        <v>310</v>
      </c>
      <c r="D153" t="s">
        <v>4</v>
      </c>
      <c r="E153">
        <v>0</v>
      </c>
      <c r="F153"/>
      <c r="G153">
        <v>0</v>
      </c>
    </row>
    <row r="154" spans="1:7" x14ac:dyDescent="0.25">
      <c r="A154">
        <v>270</v>
      </c>
      <c r="B154" t="s">
        <v>471</v>
      </c>
      <c r="C154">
        <v>315</v>
      </c>
      <c r="D154" t="s">
        <v>4</v>
      </c>
      <c r="E154">
        <v>0</v>
      </c>
      <c r="F154"/>
      <c r="G154">
        <v>300</v>
      </c>
    </row>
    <row r="155" spans="1:7" x14ac:dyDescent="0.25">
      <c r="A155">
        <v>271</v>
      </c>
      <c r="B155" t="s">
        <v>471</v>
      </c>
      <c r="C155">
        <v>320</v>
      </c>
      <c r="D155" t="s">
        <v>4</v>
      </c>
      <c r="E155">
        <v>2</v>
      </c>
      <c r="F155"/>
      <c r="G155">
        <v>0</v>
      </c>
    </row>
    <row r="156" spans="1:7" x14ac:dyDescent="0.25">
      <c r="A156">
        <v>272</v>
      </c>
      <c r="B156" t="s">
        <v>471</v>
      </c>
      <c r="C156">
        <v>330</v>
      </c>
      <c r="D156"/>
      <c r="E156">
        <v>0</v>
      </c>
      <c r="F156"/>
      <c r="G156">
        <v>0</v>
      </c>
    </row>
    <row r="157" spans="1:7" x14ac:dyDescent="0.25">
      <c r="A157">
        <v>1687</v>
      </c>
      <c r="B157" t="s">
        <v>471</v>
      </c>
      <c r="C157">
        <v>240</v>
      </c>
      <c r="D157"/>
      <c r="E157">
        <v>0</v>
      </c>
      <c r="F157"/>
      <c r="G157">
        <v>0</v>
      </c>
    </row>
    <row r="158" spans="1:7" x14ac:dyDescent="0.25">
      <c r="A158">
        <v>290</v>
      </c>
      <c r="B158" t="s">
        <v>471</v>
      </c>
      <c r="C158">
        <v>340</v>
      </c>
      <c r="D158"/>
      <c r="E158">
        <v>2</v>
      </c>
      <c r="F158">
        <v>25</v>
      </c>
      <c r="G158">
        <v>0</v>
      </c>
    </row>
    <row r="159" spans="1:7" x14ac:dyDescent="0.25">
      <c r="A159">
        <v>291</v>
      </c>
      <c r="B159" t="s">
        <v>471</v>
      </c>
      <c r="C159">
        <v>350</v>
      </c>
      <c r="D159"/>
      <c r="E159">
        <v>0</v>
      </c>
      <c r="F159"/>
      <c r="G159">
        <v>0</v>
      </c>
    </row>
    <row r="160" spans="1:7" x14ac:dyDescent="0.25">
      <c r="A160">
        <v>292</v>
      </c>
      <c r="B160" t="s">
        <v>471</v>
      </c>
      <c r="C160">
        <v>360</v>
      </c>
      <c r="D160"/>
      <c r="E160">
        <v>0</v>
      </c>
      <c r="F160"/>
      <c r="G160">
        <v>0</v>
      </c>
    </row>
    <row r="161" spans="1:7" x14ac:dyDescent="0.25">
      <c r="A161">
        <v>293</v>
      </c>
      <c r="B161" t="s">
        <v>471</v>
      </c>
      <c r="C161">
        <v>370</v>
      </c>
      <c r="D161"/>
      <c r="E161">
        <v>0</v>
      </c>
      <c r="F161"/>
      <c r="G161">
        <v>90</v>
      </c>
    </row>
    <row r="162" spans="1:7" x14ac:dyDescent="0.25">
      <c r="A162">
        <v>294</v>
      </c>
      <c r="B162" t="s">
        <v>471</v>
      </c>
      <c r="C162">
        <v>380</v>
      </c>
      <c r="D162"/>
      <c r="E162">
        <v>0</v>
      </c>
      <c r="F162"/>
      <c r="G162">
        <v>0</v>
      </c>
    </row>
    <row r="163" spans="1:7" x14ac:dyDescent="0.25">
      <c r="A163">
        <v>295</v>
      </c>
      <c r="B163" t="s">
        <v>471</v>
      </c>
      <c r="C163">
        <v>390</v>
      </c>
      <c r="D163"/>
      <c r="E163">
        <v>0</v>
      </c>
      <c r="F163">
        <v>20</v>
      </c>
      <c r="G163">
        <v>0</v>
      </c>
    </row>
    <row r="164" spans="1:7" x14ac:dyDescent="0.25">
      <c r="A164">
        <v>296</v>
      </c>
      <c r="B164" t="s">
        <v>471</v>
      </c>
      <c r="C164">
        <v>400</v>
      </c>
      <c r="D164"/>
      <c r="E164">
        <v>0</v>
      </c>
      <c r="F164">
        <v>20</v>
      </c>
      <c r="G164">
        <v>0</v>
      </c>
    </row>
    <row r="165" spans="1:7" x14ac:dyDescent="0.25">
      <c r="A165">
        <v>1778</v>
      </c>
      <c r="B165" t="s">
        <v>471</v>
      </c>
      <c r="C165">
        <v>400</v>
      </c>
      <c r="D165"/>
      <c r="E165">
        <v>0</v>
      </c>
      <c r="F165"/>
      <c r="G165">
        <v>0</v>
      </c>
    </row>
    <row r="166" spans="1:7" x14ac:dyDescent="0.25">
      <c r="A166">
        <v>1779</v>
      </c>
      <c r="B166" t="s">
        <v>471</v>
      </c>
      <c r="C166">
        <v>410</v>
      </c>
      <c r="D166" t="s">
        <v>322</v>
      </c>
      <c r="E166">
        <v>0</v>
      </c>
      <c r="F166"/>
      <c r="G166">
        <v>0</v>
      </c>
    </row>
    <row r="167" spans="1:7" x14ac:dyDescent="0.25">
      <c r="A167">
        <v>1780</v>
      </c>
      <c r="B167" t="s">
        <v>471</v>
      </c>
      <c r="C167">
        <v>420</v>
      </c>
      <c r="D167"/>
      <c r="E167">
        <v>1</v>
      </c>
      <c r="F167"/>
      <c r="G167">
        <v>0</v>
      </c>
    </row>
    <row r="168" spans="1:7" x14ac:dyDescent="0.25">
      <c r="A168">
        <v>359</v>
      </c>
      <c r="B168" t="s">
        <v>472</v>
      </c>
      <c r="C168">
        <v>200</v>
      </c>
      <c r="D168"/>
      <c r="E168">
        <v>0</v>
      </c>
      <c r="F168">
        <v>36</v>
      </c>
      <c r="G168">
        <v>0</v>
      </c>
    </row>
    <row r="169" spans="1:7" x14ac:dyDescent="0.25">
      <c r="A169">
        <v>273</v>
      </c>
      <c r="B169" t="s">
        <v>472</v>
      </c>
      <c r="C169">
        <v>210</v>
      </c>
      <c r="D169"/>
      <c r="E169">
        <v>0</v>
      </c>
      <c r="F169">
        <v>36</v>
      </c>
      <c r="G169">
        <v>75</v>
      </c>
    </row>
    <row r="170" spans="1:7" x14ac:dyDescent="0.25">
      <c r="A170">
        <v>274</v>
      </c>
      <c r="B170" t="s">
        <v>472</v>
      </c>
      <c r="C170">
        <v>220</v>
      </c>
      <c r="D170"/>
      <c r="E170">
        <v>1</v>
      </c>
      <c r="F170"/>
      <c r="G170">
        <v>0</v>
      </c>
    </row>
    <row r="171" spans="1:7" x14ac:dyDescent="0.25">
      <c r="A171">
        <v>275</v>
      </c>
      <c r="B171" t="s">
        <v>472</v>
      </c>
      <c r="C171">
        <v>230</v>
      </c>
      <c r="D171" t="s">
        <v>457</v>
      </c>
      <c r="E171">
        <v>1</v>
      </c>
      <c r="F171"/>
      <c r="G171">
        <v>40</v>
      </c>
    </row>
    <row r="172" spans="1:7" x14ac:dyDescent="0.25">
      <c r="A172">
        <v>276</v>
      </c>
      <c r="B172" t="s">
        <v>472</v>
      </c>
      <c r="C172">
        <v>240</v>
      </c>
      <c r="D172" t="s">
        <v>444</v>
      </c>
      <c r="E172">
        <v>0</v>
      </c>
      <c r="F172">
        <v>30</v>
      </c>
      <c r="G172">
        <v>0</v>
      </c>
    </row>
    <row r="173" spans="1:7" x14ac:dyDescent="0.25">
      <c r="A173">
        <v>277</v>
      </c>
      <c r="B173" t="s">
        <v>472</v>
      </c>
      <c r="C173">
        <v>250</v>
      </c>
      <c r="D173" t="s">
        <v>445</v>
      </c>
      <c r="E173">
        <v>0</v>
      </c>
      <c r="F173">
        <v>30</v>
      </c>
      <c r="G173">
        <v>0</v>
      </c>
    </row>
    <row r="174" spans="1:7" x14ac:dyDescent="0.25">
      <c r="A174">
        <v>278</v>
      </c>
      <c r="B174" t="s">
        <v>472</v>
      </c>
      <c r="C174">
        <v>260</v>
      </c>
      <c r="D174" t="s">
        <v>445</v>
      </c>
      <c r="E174">
        <v>0</v>
      </c>
      <c r="F174"/>
      <c r="G174">
        <v>0</v>
      </c>
    </row>
    <row r="175" spans="1:7" x14ac:dyDescent="0.25">
      <c r="A175">
        <v>279</v>
      </c>
      <c r="B175" t="s">
        <v>472</v>
      </c>
      <c r="C175">
        <v>270</v>
      </c>
      <c r="D175" t="s">
        <v>445</v>
      </c>
      <c r="E175">
        <v>0</v>
      </c>
      <c r="F175">
        <v>30</v>
      </c>
      <c r="G175">
        <v>0</v>
      </c>
    </row>
    <row r="176" spans="1:7" x14ac:dyDescent="0.25">
      <c r="A176">
        <v>280</v>
      </c>
      <c r="B176" t="s">
        <v>472</v>
      </c>
      <c r="C176">
        <v>280</v>
      </c>
      <c r="D176" t="s">
        <v>445</v>
      </c>
      <c r="E176">
        <v>0</v>
      </c>
      <c r="F176">
        <v>30</v>
      </c>
      <c r="G176">
        <v>0</v>
      </c>
    </row>
    <row r="177" spans="1:7" x14ac:dyDescent="0.25">
      <c r="A177">
        <v>281</v>
      </c>
      <c r="B177" t="s">
        <v>472</v>
      </c>
      <c r="C177">
        <v>290</v>
      </c>
      <c r="D177" t="s">
        <v>446</v>
      </c>
      <c r="E177">
        <v>0</v>
      </c>
      <c r="F177"/>
      <c r="G177">
        <v>0</v>
      </c>
    </row>
    <row r="178" spans="1:7" x14ac:dyDescent="0.25">
      <c r="A178">
        <v>282</v>
      </c>
      <c r="B178" t="s">
        <v>472</v>
      </c>
      <c r="C178">
        <v>300</v>
      </c>
      <c r="D178" t="s">
        <v>446</v>
      </c>
      <c r="E178">
        <v>0</v>
      </c>
      <c r="F178">
        <v>25</v>
      </c>
      <c r="G178">
        <v>0</v>
      </c>
    </row>
    <row r="179" spans="1:7" x14ac:dyDescent="0.25">
      <c r="A179">
        <v>283</v>
      </c>
      <c r="B179" t="s">
        <v>472</v>
      </c>
      <c r="C179">
        <v>310</v>
      </c>
      <c r="D179" t="s">
        <v>445</v>
      </c>
      <c r="E179">
        <v>0</v>
      </c>
      <c r="F179"/>
      <c r="G179">
        <v>0</v>
      </c>
    </row>
    <row r="180" spans="1:7" x14ac:dyDescent="0.25">
      <c r="A180">
        <v>284</v>
      </c>
      <c r="B180" t="s">
        <v>472</v>
      </c>
      <c r="C180">
        <v>320</v>
      </c>
      <c r="D180" t="s">
        <v>445</v>
      </c>
      <c r="E180">
        <v>0</v>
      </c>
      <c r="F180">
        <v>25</v>
      </c>
      <c r="G180">
        <v>0</v>
      </c>
    </row>
    <row r="181" spans="1:7" x14ac:dyDescent="0.25">
      <c r="A181">
        <v>285</v>
      </c>
      <c r="B181" t="s">
        <v>472</v>
      </c>
      <c r="C181">
        <v>330</v>
      </c>
      <c r="D181" t="s">
        <v>445</v>
      </c>
      <c r="E181">
        <v>0</v>
      </c>
      <c r="F181"/>
      <c r="G181">
        <v>0</v>
      </c>
    </row>
    <row r="182" spans="1:7" x14ac:dyDescent="0.25">
      <c r="A182">
        <v>286</v>
      </c>
      <c r="B182" t="s">
        <v>472</v>
      </c>
      <c r="C182">
        <v>340</v>
      </c>
      <c r="D182" t="s">
        <v>445</v>
      </c>
      <c r="E182">
        <v>0</v>
      </c>
      <c r="F182">
        <v>20</v>
      </c>
      <c r="G182">
        <v>0</v>
      </c>
    </row>
    <row r="183" spans="1:7" x14ac:dyDescent="0.25">
      <c r="A183">
        <v>287</v>
      </c>
      <c r="B183" t="s">
        <v>472</v>
      </c>
      <c r="C183">
        <v>350</v>
      </c>
      <c r="D183" t="s">
        <v>445</v>
      </c>
      <c r="E183">
        <v>0</v>
      </c>
      <c r="F183"/>
      <c r="G183">
        <v>0</v>
      </c>
    </row>
    <row r="184" spans="1:7" x14ac:dyDescent="0.25">
      <c r="A184">
        <v>288</v>
      </c>
      <c r="B184" t="s">
        <v>472</v>
      </c>
      <c r="C184">
        <v>360</v>
      </c>
      <c r="D184" t="s">
        <v>445</v>
      </c>
      <c r="E184">
        <v>0</v>
      </c>
      <c r="F184"/>
      <c r="G184">
        <v>40</v>
      </c>
    </row>
    <row r="185" spans="1:7" x14ac:dyDescent="0.25">
      <c r="A185">
        <v>289</v>
      </c>
      <c r="B185" t="s">
        <v>472</v>
      </c>
      <c r="C185">
        <v>370</v>
      </c>
      <c r="D185" t="s">
        <v>445</v>
      </c>
      <c r="E185">
        <v>2</v>
      </c>
      <c r="F185"/>
      <c r="G185">
        <v>0</v>
      </c>
    </row>
    <row r="186" spans="1:7" x14ac:dyDescent="0.25">
      <c r="A186">
        <v>1636</v>
      </c>
      <c r="B186" t="s">
        <v>472</v>
      </c>
      <c r="C186">
        <v>200</v>
      </c>
      <c r="D186" t="s">
        <v>445</v>
      </c>
      <c r="E186">
        <v>0</v>
      </c>
      <c r="F186"/>
      <c r="G186">
        <v>0</v>
      </c>
    </row>
    <row r="187" spans="1:7" x14ac:dyDescent="0.25">
      <c r="A187">
        <v>1637</v>
      </c>
      <c r="B187" t="s">
        <v>472</v>
      </c>
      <c r="C187">
        <v>230</v>
      </c>
      <c r="D187" t="s">
        <v>445</v>
      </c>
      <c r="E187">
        <v>0</v>
      </c>
      <c r="F187"/>
      <c r="G187">
        <v>0</v>
      </c>
    </row>
    <row r="188" spans="1:7" x14ac:dyDescent="0.25">
      <c r="A188">
        <v>297</v>
      </c>
      <c r="B188" t="s">
        <v>472</v>
      </c>
      <c r="C188">
        <v>380</v>
      </c>
      <c r="D188" t="s">
        <v>445</v>
      </c>
      <c r="E188">
        <v>0</v>
      </c>
      <c r="F188"/>
      <c r="G188">
        <v>0</v>
      </c>
    </row>
    <row r="189" spans="1:7" x14ac:dyDescent="0.25">
      <c r="A189">
        <v>298</v>
      </c>
      <c r="B189" t="s">
        <v>472</v>
      </c>
      <c r="C189">
        <v>390</v>
      </c>
      <c r="D189" t="s">
        <v>445</v>
      </c>
      <c r="E189">
        <v>1</v>
      </c>
      <c r="F189"/>
      <c r="G189">
        <v>20</v>
      </c>
    </row>
    <row r="190" spans="1:7" x14ac:dyDescent="0.25">
      <c r="A190">
        <v>299</v>
      </c>
      <c r="B190" t="s">
        <v>472</v>
      </c>
      <c r="C190">
        <v>400</v>
      </c>
      <c r="D190" t="s">
        <v>445</v>
      </c>
      <c r="E190">
        <v>0</v>
      </c>
      <c r="F190">
        <v>20</v>
      </c>
      <c r="G190">
        <v>0</v>
      </c>
    </row>
    <row r="191" spans="1:7" x14ac:dyDescent="0.25">
      <c r="A191">
        <v>300</v>
      </c>
      <c r="B191" t="s">
        <v>472</v>
      </c>
      <c r="C191">
        <v>410</v>
      </c>
      <c r="D191" t="s">
        <v>445</v>
      </c>
      <c r="E191">
        <v>0</v>
      </c>
      <c r="F191">
        <v>20</v>
      </c>
      <c r="G191">
        <v>0</v>
      </c>
    </row>
    <row r="192" spans="1:7" x14ac:dyDescent="0.25">
      <c r="A192">
        <v>301</v>
      </c>
      <c r="B192" t="s">
        <v>472</v>
      </c>
      <c r="C192">
        <v>420</v>
      </c>
      <c r="D192" t="s">
        <v>445</v>
      </c>
      <c r="E192">
        <v>0</v>
      </c>
      <c r="F192"/>
      <c r="G192">
        <v>0</v>
      </c>
    </row>
    <row r="193" spans="1:7" x14ac:dyDescent="0.25">
      <c r="A193">
        <v>302</v>
      </c>
      <c r="B193" t="s">
        <v>472</v>
      </c>
      <c r="C193">
        <v>430</v>
      </c>
      <c r="D193" t="s">
        <v>445</v>
      </c>
      <c r="E193">
        <v>0</v>
      </c>
      <c r="F193"/>
      <c r="G193">
        <v>0</v>
      </c>
    </row>
    <row r="194" spans="1:7" x14ac:dyDescent="0.25">
      <c r="A194">
        <v>303</v>
      </c>
      <c r="B194" t="s">
        <v>472</v>
      </c>
      <c r="C194">
        <v>440</v>
      </c>
      <c r="D194" t="s">
        <v>446</v>
      </c>
      <c r="E194"/>
      <c r="F194"/>
      <c r="G194">
        <v>0</v>
      </c>
    </row>
    <row r="195" spans="1:7" x14ac:dyDescent="0.25">
      <c r="A195">
        <v>304</v>
      </c>
      <c r="B195" t="s">
        <v>472</v>
      </c>
      <c r="C195">
        <v>450</v>
      </c>
      <c r="D195" t="s">
        <v>446</v>
      </c>
      <c r="E195">
        <v>0</v>
      </c>
      <c r="F195"/>
      <c r="G195">
        <v>0</v>
      </c>
    </row>
    <row r="196" spans="1:7" x14ac:dyDescent="0.25">
      <c r="A196">
        <v>1781</v>
      </c>
      <c r="B196" t="s">
        <v>472</v>
      </c>
      <c r="C196">
        <v>400</v>
      </c>
      <c r="D196" t="s">
        <v>446</v>
      </c>
      <c r="E196">
        <v>0</v>
      </c>
      <c r="F196"/>
      <c r="G196">
        <v>0</v>
      </c>
    </row>
    <row r="197" spans="1:7" x14ac:dyDescent="0.25">
      <c r="A197">
        <v>1782</v>
      </c>
      <c r="B197" t="s">
        <v>472</v>
      </c>
      <c r="C197">
        <v>410</v>
      </c>
      <c r="D197" t="s">
        <v>444</v>
      </c>
      <c r="E197">
        <v>0</v>
      </c>
      <c r="F197"/>
      <c r="G197">
        <v>0</v>
      </c>
    </row>
    <row r="198" spans="1:7" x14ac:dyDescent="0.25">
      <c r="A198">
        <v>1644</v>
      </c>
      <c r="B198" t="s">
        <v>473</v>
      </c>
      <c r="C198" t="s">
        <v>322</v>
      </c>
      <c r="D198" t="s">
        <v>444</v>
      </c>
      <c r="E198">
        <v>0</v>
      </c>
      <c r="F198"/>
      <c r="G198">
        <v>0</v>
      </c>
    </row>
    <row r="199" spans="1:7" x14ac:dyDescent="0.25">
      <c r="A199">
        <v>1589</v>
      </c>
      <c r="B199" t="s">
        <v>474</v>
      </c>
      <c r="C199" t="s">
        <v>322</v>
      </c>
      <c r="D199" t="s">
        <v>444</v>
      </c>
      <c r="E199">
        <v>0</v>
      </c>
      <c r="F199">
        <v>110</v>
      </c>
      <c r="G199">
        <v>0</v>
      </c>
    </row>
    <row r="200" spans="1:7" x14ac:dyDescent="0.25">
      <c r="A200">
        <v>1590</v>
      </c>
      <c r="B200" t="s">
        <v>475</v>
      </c>
      <c r="C200" t="s">
        <v>322</v>
      </c>
      <c r="D200" t="s">
        <v>444</v>
      </c>
      <c r="E200">
        <v>0</v>
      </c>
      <c r="F200">
        <v>110</v>
      </c>
      <c r="G200">
        <v>0</v>
      </c>
    </row>
    <row r="201" spans="1:7" x14ac:dyDescent="0.25">
      <c r="A201">
        <v>1592</v>
      </c>
      <c r="B201" t="s">
        <v>476</v>
      </c>
      <c r="C201" t="s">
        <v>322</v>
      </c>
      <c r="D201" t="s">
        <v>444</v>
      </c>
      <c r="E201">
        <v>0</v>
      </c>
      <c r="F201">
        <v>90</v>
      </c>
      <c r="G201">
        <v>0</v>
      </c>
    </row>
    <row r="202" spans="1:7" x14ac:dyDescent="0.25">
      <c r="A202">
        <v>1593</v>
      </c>
      <c r="B202" t="s">
        <v>477</v>
      </c>
      <c r="C202" t="s">
        <v>322</v>
      </c>
      <c r="D202" t="s">
        <v>444</v>
      </c>
      <c r="E202">
        <v>0</v>
      </c>
      <c r="F202">
        <v>70</v>
      </c>
      <c r="G202">
        <v>0</v>
      </c>
    </row>
    <row r="203" spans="1:7" x14ac:dyDescent="0.25">
      <c r="A203" t="s">
        <v>478</v>
      </c>
      <c r="B203" t="s">
        <v>479</v>
      </c>
      <c r="C203" t="s">
        <v>322</v>
      </c>
      <c r="D203" t="s">
        <v>444</v>
      </c>
      <c r="E203">
        <v>0</v>
      </c>
      <c r="F203"/>
      <c r="G203">
        <v>0</v>
      </c>
    </row>
    <row r="204" spans="1:7" x14ac:dyDescent="0.25">
      <c r="A204">
        <v>1594</v>
      </c>
      <c r="B204" t="s">
        <v>480</v>
      </c>
      <c r="C204" t="s">
        <v>322</v>
      </c>
      <c r="D204" t="s">
        <v>444</v>
      </c>
      <c r="E204">
        <v>15</v>
      </c>
      <c r="F204">
        <v>50</v>
      </c>
      <c r="G204">
        <v>750</v>
      </c>
    </row>
    <row r="205" spans="1:7" x14ac:dyDescent="0.25">
      <c r="A205" t="s">
        <v>478</v>
      </c>
      <c r="B205" t="s">
        <v>479</v>
      </c>
      <c r="C205" t="s">
        <v>322</v>
      </c>
      <c r="D205" t="s">
        <v>444</v>
      </c>
      <c r="E205">
        <v>0</v>
      </c>
      <c r="F205"/>
      <c r="G205">
        <v>0</v>
      </c>
    </row>
    <row r="206" spans="1:7" x14ac:dyDescent="0.25">
      <c r="A206">
        <v>1595</v>
      </c>
      <c r="B206" t="s">
        <v>481</v>
      </c>
      <c r="C206" t="s">
        <v>322</v>
      </c>
      <c r="D206" t="s">
        <v>444</v>
      </c>
      <c r="E206">
        <v>0</v>
      </c>
      <c r="F206">
        <v>100</v>
      </c>
      <c r="G206">
        <v>0</v>
      </c>
    </row>
    <row r="207" spans="1:7" x14ac:dyDescent="0.25">
      <c r="A207">
        <v>1596</v>
      </c>
      <c r="B207" t="s">
        <v>482</v>
      </c>
      <c r="C207" t="s">
        <v>322</v>
      </c>
      <c r="D207" t="s">
        <v>444</v>
      </c>
      <c r="E207">
        <v>0</v>
      </c>
      <c r="F207">
        <v>90</v>
      </c>
      <c r="G207">
        <v>0</v>
      </c>
    </row>
    <row r="208" spans="1:7" x14ac:dyDescent="0.25">
      <c r="A208">
        <v>1597</v>
      </c>
      <c r="B208" t="s">
        <v>483</v>
      </c>
      <c r="C208" t="s">
        <v>322</v>
      </c>
      <c r="D208" t="s">
        <v>444</v>
      </c>
      <c r="E208">
        <v>3</v>
      </c>
      <c r="F208">
        <v>75</v>
      </c>
      <c r="G208">
        <v>120</v>
      </c>
    </row>
    <row r="209" spans="1:7" x14ac:dyDescent="0.25">
      <c r="A209">
        <v>1598</v>
      </c>
      <c r="B209" t="s">
        <v>484</v>
      </c>
      <c r="C209" t="s">
        <v>322</v>
      </c>
      <c r="D209" t="s">
        <v>444</v>
      </c>
      <c r="E209">
        <v>0</v>
      </c>
      <c r="F209">
        <v>60</v>
      </c>
      <c r="G209">
        <v>0</v>
      </c>
    </row>
    <row r="210" spans="1:7" x14ac:dyDescent="0.25">
      <c r="A210" t="s">
        <v>478</v>
      </c>
      <c r="B210" t="s">
        <v>479</v>
      </c>
      <c r="C210" t="s">
        <v>322</v>
      </c>
      <c r="D210" t="s">
        <v>444</v>
      </c>
      <c r="E210">
        <v>1</v>
      </c>
      <c r="F210"/>
      <c r="G210">
        <v>0</v>
      </c>
    </row>
    <row r="211" spans="1:7" x14ac:dyDescent="0.25">
      <c r="A211">
        <v>1599</v>
      </c>
      <c r="B211" t="s">
        <v>485</v>
      </c>
      <c r="C211" t="s">
        <v>322</v>
      </c>
      <c r="D211" t="s">
        <v>444</v>
      </c>
      <c r="E211">
        <v>0</v>
      </c>
      <c r="F211">
        <v>40</v>
      </c>
      <c r="G211">
        <v>0</v>
      </c>
    </row>
    <row r="212" spans="1:7" x14ac:dyDescent="0.25">
      <c r="A212" t="s">
        <v>478</v>
      </c>
      <c r="B212" t="s">
        <v>479</v>
      </c>
      <c r="C212" t="s">
        <v>322</v>
      </c>
      <c r="D212" t="s">
        <v>444</v>
      </c>
      <c r="E212">
        <v>4</v>
      </c>
      <c r="F212"/>
      <c r="G212">
        <v>160</v>
      </c>
    </row>
    <row r="213" spans="1:7" x14ac:dyDescent="0.25">
      <c r="A213">
        <v>1600</v>
      </c>
      <c r="B213" t="s">
        <v>487</v>
      </c>
      <c r="C213" t="s">
        <v>322</v>
      </c>
      <c r="D213" t="s">
        <v>444</v>
      </c>
      <c r="E213">
        <v>0</v>
      </c>
      <c r="F213"/>
      <c r="G213">
        <v>0</v>
      </c>
    </row>
    <row r="214" spans="1:7" x14ac:dyDescent="0.25">
      <c r="A214">
        <v>1601</v>
      </c>
      <c r="B214" t="s">
        <v>488</v>
      </c>
      <c r="C214" t="s">
        <v>322</v>
      </c>
      <c r="D214" t="s">
        <v>444</v>
      </c>
      <c r="E214">
        <v>0</v>
      </c>
      <c r="F214"/>
      <c r="G214">
        <v>0</v>
      </c>
    </row>
    <row r="215" spans="1:7" x14ac:dyDescent="0.25">
      <c r="A215">
        <v>1602</v>
      </c>
      <c r="B215" t="s">
        <v>489</v>
      </c>
      <c r="C215" t="s">
        <v>322</v>
      </c>
      <c r="D215" t="s">
        <v>444</v>
      </c>
      <c r="E215">
        <v>0</v>
      </c>
      <c r="F215"/>
      <c r="G215">
        <v>0</v>
      </c>
    </row>
    <row r="216" spans="1:7" x14ac:dyDescent="0.25">
      <c r="A216">
        <v>1603</v>
      </c>
      <c r="B216" t="s">
        <v>490</v>
      </c>
      <c r="C216" t="s">
        <v>322</v>
      </c>
      <c r="D216" t="s">
        <v>444</v>
      </c>
      <c r="E216">
        <v>0</v>
      </c>
      <c r="F216"/>
      <c r="G216">
        <v>0</v>
      </c>
    </row>
    <row r="217" spans="1:7" x14ac:dyDescent="0.25">
      <c r="A217" t="s">
        <v>478</v>
      </c>
      <c r="B217" t="s">
        <v>479</v>
      </c>
      <c r="C217" t="s">
        <v>322</v>
      </c>
      <c r="D217" t="s">
        <v>444</v>
      </c>
      <c r="E217">
        <v>0</v>
      </c>
      <c r="F217"/>
      <c r="G217">
        <v>0</v>
      </c>
    </row>
    <row r="218" spans="1:7" x14ac:dyDescent="0.25">
      <c r="A218">
        <v>1604</v>
      </c>
      <c r="B218" t="s">
        <v>491</v>
      </c>
      <c r="C218" t="s">
        <v>322</v>
      </c>
      <c r="D218" t="s">
        <v>444</v>
      </c>
      <c r="E218">
        <v>0</v>
      </c>
      <c r="F218"/>
      <c r="G218">
        <v>0</v>
      </c>
    </row>
    <row r="219" spans="1:7" x14ac:dyDescent="0.25">
      <c r="A219" t="s">
        <v>478</v>
      </c>
      <c r="B219" t="s">
        <v>479</v>
      </c>
      <c r="C219" t="s">
        <v>322</v>
      </c>
      <c r="D219" t="s">
        <v>445</v>
      </c>
      <c r="E219">
        <v>4</v>
      </c>
      <c r="F219"/>
      <c r="G219">
        <v>0</v>
      </c>
    </row>
    <row r="220" spans="1:7" x14ac:dyDescent="0.25">
      <c r="A220">
        <v>1605</v>
      </c>
      <c r="B220" t="s">
        <v>492</v>
      </c>
      <c r="C220" t="s">
        <v>322</v>
      </c>
      <c r="D220" t="s">
        <v>445</v>
      </c>
      <c r="E220">
        <v>0</v>
      </c>
      <c r="F220"/>
      <c r="G220">
        <v>0</v>
      </c>
    </row>
    <row r="221" spans="1:7" x14ac:dyDescent="0.25">
      <c r="A221">
        <v>1606</v>
      </c>
      <c r="B221" t="s">
        <v>493</v>
      </c>
      <c r="C221" t="s">
        <v>322</v>
      </c>
      <c r="D221" t="s">
        <v>445</v>
      </c>
      <c r="E221">
        <v>0</v>
      </c>
      <c r="F221"/>
      <c r="G221">
        <v>0</v>
      </c>
    </row>
    <row r="222" spans="1:7" x14ac:dyDescent="0.25">
      <c r="A222">
        <v>1608</v>
      </c>
      <c r="B222" t="s">
        <v>494</v>
      </c>
      <c r="C222" t="s">
        <v>322</v>
      </c>
      <c r="D222" t="s">
        <v>445</v>
      </c>
      <c r="E222">
        <v>0</v>
      </c>
      <c r="F222"/>
      <c r="G222">
        <v>0</v>
      </c>
    </row>
    <row r="223" spans="1:7" x14ac:dyDescent="0.25">
      <c r="A223">
        <v>1609</v>
      </c>
      <c r="B223" t="s">
        <v>495</v>
      </c>
      <c r="C223" t="s">
        <v>322</v>
      </c>
      <c r="D223" t="s">
        <v>445</v>
      </c>
      <c r="E223">
        <v>0</v>
      </c>
      <c r="F223"/>
      <c r="G223">
        <v>0</v>
      </c>
    </row>
    <row r="224" spans="1:7" x14ac:dyDescent="0.25">
      <c r="A224" t="s">
        <v>478</v>
      </c>
      <c r="B224" t="s">
        <v>479</v>
      </c>
      <c r="C224" t="s">
        <v>322</v>
      </c>
      <c r="D224" t="s">
        <v>445</v>
      </c>
      <c r="E224">
        <v>0</v>
      </c>
      <c r="F224"/>
      <c r="G224">
        <v>0</v>
      </c>
    </row>
    <row r="225" spans="1:7" x14ac:dyDescent="0.25">
      <c r="A225">
        <v>1610</v>
      </c>
      <c r="B225" t="s">
        <v>496</v>
      </c>
      <c r="C225" t="s">
        <v>322</v>
      </c>
      <c r="D225" t="s">
        <v>445</v>
      </c>
      <c r="E225">
        <v>0</v>
      </c>
      <c r="F225"/>
      <c r="G225">
        <v>0</v>
      </c>
    </row>
    <row r="226" spans="1:7" x14ac:dyDescent="0.25">
      <c r="A226" t="s">
        <v>478</v>
      </c>
      <c r="B226" t="s">
        <v>479</v>
      </c>
      <c r="C226" t="s">
        <v>322</v>
      </c>
      <c r="D226" t="s">
        <v>445</v>
      </c>
      <c r="E226">
        <v>0</v>
      </c>
      <c r="F226"/>
      <c r="G226">
        <v>0</v>
      </c>
    </row>
    <row r="227" spans="1:7" x14ac:dyDescent="0.25">
      <c r="A227">
        <v>163</v>
      </c>
      <c r="B227" t="s">
        <v>474</v>
      </c>
      <c r="C227" t="s">
        <v>322</v>
      </c>
      <c r="D227" t="s">
        <v>445</v>
      </c>
      <c r="E227">
        <v>0</v>
      </c>
      <c r="F227">
        <v>110</v>
      </c>
      <c r="G227">
        <v>0</v>
      </c>
    </row>
    <row r="228" spans="1:7" x14ac:dyDescent="0.25">
      <c r="A228">
        <v>480</v>
      </c>
      <c r="B228" t="s">
        <v>475</v>
      </c>
      <c r="C228" t="s">
        <v>322</v>
      </c>
      <c r="D228" t="s">
        <v>445</v>
      </c>
      <c r="E228">
        <v>0</v>
      </c>
      <c r="F228">
        <v>110</v>
      </c>
      <c r="G228">
        <v>0</v>
      </c>
    </row>
    <row r="229" spans="1:7" x14ac:dyDescent="0.25">
      <c r="A229">
        <v>164</v>
      </c>
      <c r="B229" t="s">
        <v>476</v>
      </c>
      <c r="C229" t="s">
        <v>322</v>
      </c>
      <c r="D229" t="s">
        <v>445</v>
      </c>
      <c r="E229">
        <v>0</v>
      </c>
      <c r="F229">
        <v>90</v>
      </c>
      <c r="G229">
        <v>0</v>
      </c>
    </row>
    <row r="230" spans="1:7" x14ac:dyDescent="0.25">
      <c r="A230">
        <v>165</v>
      </c>
      <c r="B230" t="s">
        <v>477</v>
      </c>
      <c r="C230" t="s">
        <v>322</v>
      </c>
      <c r="D230" t="s">
        <v>445</v>
      </c>
      <c r="E230">
        <v>0</v>
      </c>
      <c r="F230">
        <v>70</v>
      </c>
      <c r="G230">
        <v>0</v>
      </c>
    </row>
    <row r="231" spans="1:7" x14ac:dyDescent="0.25">
      <c r="A231" t="s">
        <v>478</v>
      </c>
      <c r="B231" t="s">
        <v>479</v>
      </c>
      <c r="C231" t="s">
        <v>322</v>
      </c>
      <c r="D231" t="s">
        <v>445</v>
      </c>
      <c r="E231">
        <v>0</v>
      </c>
      <c r="F231"/>
      <c r="G231">
        <v>0</v>
      </c>
    </row>
    <row r="232" spans="1:7" x14ac:dyDescent="0.25">
      <c r="A232">
        <v>166</v>
      </c>
      <c r="B232" t="s">
        <v>480</v>
      </c>
      <c r="C232" t="s">
        <v>322</v>
      </c>
      <c r="D232" t="s">
        <v>445</v>
      </c>
      <c r="E232">
        <v>0</v>
      </c>
      <c r="F232">
        <v>50</v>
      </c>
      <c r="G232">
        <v>0</v>
      </c>
    </row>
    <row r="233" spans="1:7" x14ac:dyDescent="0.25">
      <c r="A233" t="s">
        <v>478</v>
      </c>
      <c r="B233" t="s">
        <v>479</v>
      </c>
      <c r="C233" t="s">
        <v>322</v>
      </c>
      <c r="D233" t="s">
        <v>445</v>
      </c>
      <c r="E233">
        <v>0</v>
      </c>
      <c r="F233"/>
      <c r="G233">
        <v>0</v>
      </c>
    </row>
    <row r="234" spans="1:7" x14ac:dyDescent="0.25">
      <c r="A234">
        <v>171</v>
      </c>
      <c r="B234" t="s">
        <v>481</v>
      </c>
      <c r="C234" t="s">
        <v>322</v>
      </c>
      <c r="D234" t="s">
        <v>445</v>
      </c>
      <c r="E234">
        <v>0</v>
      </c>
      <c r="F234">
        <v>100</v>
      </c>
      <c r="G234">
        <v>0</v>
      </c>
    </row>
    <row r="235" spans="1:7" x14ac:dyDescent="0.25">
      <c r="A235">
        <v>478</v>
      </c>
      <c r="B235" t="s">
        <v>482</v>
      </c>
      <c r="C235" t="s">
        <v>322</v>
      </c>
      <c r="D235" t="s">
        <v>445</v>
      </c>
      <c r="E235">
        <v>0</v>
      </c>
      <c r="F235">
        <v>90</v>
      </c>
      <c r="G235">
        <v>0</v>
      </c>
    </row>
    <row r="236" spans="1:7" x14ac:dyDescent="0.25">
      <c r="A236">
        <v>172</v>
      </c>
      <c r="B236" t="s">
        <v>483</v>
      </c>
      <c r="C236" t="s">
        <v>322</v>
      </c>
      <c r="D236" t="s">
        <v>445</v>
      </c>
      <c r="E236">
        <v>0</v>
      </c>
      <c r="F236">
        <v>75</v>
      </c>
      <c r="G236">
        <v>0</v>
      </c>
    </row>
    <row r="237" spans="1:7" x14ac:dyDescent="0.25">
      <c r="A237">
        <v>173</v>
      </c>
      <c r="B237" t="s">
        <v>484</v>
      </c>
      <c r="C237" t="s">
        <v>322</v>
      </c>
      <c r="D237" t="s">
        <v>445</v>
      </c>
      <c r="E237">
        <v>0</v>
      </c>
      <c r="F237">
        <v>60</v>
      </c>
      <c r="G237">
        <v>0</v>
      </c>
    </row>
    <row r="238" spans="1:7" x14ac:dyDescent="0.25">
      <c r="A238" t="s">
        <v>478</v>
      </c>
      <c r="B238" t="s">
        <v>479</v>
      </c>
      <c r="C238" t="s">
        <v>322</v>
      </c>
      <c r="D238" t="s">
        <v>445</v>
      </c>
      <c r="E238">
        <v>0</v>
      </c>
      <c r="F238"/>
      <c r="G238">
        <v>0</v>
      </c>
    </row>
    <row r="239" spans="1:7" x14ac:dyDescent="0.25">
      <c r="A239">
        <v>174</v>
      </c>
      <c r="B239" t="s">
        <v>485</v>
      </c>
      <c r="C239" t="s">
        <v>322</v>
      </c>
      <c r="D239" t="s">
        <v>446</v>
      </c>
      <c r="E239"/>
      <c r="F239">
        <v>40</v>
      </c>
      <c r="G239">
        <v>0</v>
      </c>
    </row>
    <row r="240" spans="1:7" x14ac:dyDescent="0.25">
      <c r="A240" t="s">
        <v>478</v>
      </c>
      <c r="B240" t="s">
        <v>479</v>
      </c>
      <c r="C240" t="s">
        <v>322</v>
      </c>
      <c r="D240" t="s">
        <v>446</v>
      </c>
      <c r="E240"/>
      <c r="F240"/>
      <c r="G240">
        <v>0</v>
      </c>
    </row>
    <row r="241" spans="1:7" x14ac:dyDescent="0.25">
      <c r="A241">
        <v>159</v>
      </c>
      <c r="B241" t="s">
        <v>487</v>
      </c>
      <c r="C241" t="s">
        <v>322</v>
      </c>
      <c r="D241" t="s">
        <v>445</v>
      </c>
      <c r="E241">
        <v>0</v>
      </c>
      <c r="F241">
        <v>110</v>
      </c>
      <c r="G241">
        <v>32</v>
      </c>
    </row>
    <row r="242" spans="1:7" x14ac:dyDescent="0.25">
      <c r="A242">
        <v>481</v>
      </c>
      <c r="B242" t="s">
        <v>488</v>
      </c>
      <c r="C242" t="s">
        <v>322</v>
      </c>
      <c r="D242" t="s">
        <v>445</v>
      </c>
      <c r="E242">
        <v>0</v>
      </c>
      <c r="F242">
        <v>110</v>
      </c>
      <c r="G242">
        <v>0</v>
      </c>
    </row>
    <row r="243" spans="1:7" x14ac:dyDescent="0.25">
      <c r="A243">
        <v>160</v>
      </c>
      <c r="B243" t="s">
        <v>489</v>
      </c>
      <c r="C243" t="s">
        <v>322</v>
      </c>
      <c r="D243" t="s">
        <v>445</v>
      </c>
      <c r="E243">
        <v>0</v>
      </c>
      <c r="F243">
        <v>80</v>
      </c>
      <c r="G243">
        <v>0</v>
      </c>
    </row>
    <row r="244" spans="1:7" x14ac:dyDescent="0.25">
      <c r="A244">
        <v>161</v>
      </c>
      <c r="B244" t="s">
        <v>490</v>
      </c>
      <c r="C244" t="s">
        <v>322</v>
      </c>
      <c r="D244" t="s">
        <v>445</v>
      </c>
      <c r="E244">
        <v>0</v>
      </c>
      <c r="F244">
        <v>70</v>
      </c>
      <c r="G244">
        <v>0</v>
      </c>
    </row>
    <row r="245" spans="1:7" x14ac:dyDescent="0.25">
      <c r="A245" t="s">
        <v>478</v>
      </c>
      <c r="B245" t="s">
        <v>479</v>
      </c>
      <c r="C245" t="s">
        <v>322</v>
      </c>
      <c r="D245" t="s">
        <v>445</v>
      </c>
      <c r="E245">
        <v>0</v>
      </c>
      <c r="F245"/>
      <c r="G245">
        <v>0</v>
      </c>
    </row>
    <row r="246" spans="1:7" x14ac:dyDescent="0.25">
      <c r="A246">
        <v>162</v>
      </c>
      <c r="B246" t="s">
        <v>491</v>
      </c>
      <c r="C246" t="s">
        <v>322</v>
      </c>
      <c r="D246" t="s">
        <v>445</v>
      </c>
      <c r="E246">
        <v>0</v>
      </c>
      <c r="F246">
        <v>45</v>
      </c>
      <c r="G246">
        <v>0</v>
      </c>
    </row>
    <row r="247" spans="1:7" x14ac:dyDescent="0.25">
      <c r="A247" t="s">
        <v>478</v>
      </c>
      <c r="B247" t="s">
        <v>479</v>
      </c>
      <c r="C247" t="s">
        <v>322</v>
      </c>
      <c r="D247" t="s">
        <v>445</v>
      </c>
      <c r="E247">
        <v>0</v>
      </c>
      <c r="F247"/>
      <c r="G247">
        <v>0</v>
      </c>
    </row>
    <row r="248" spans="1:7" x14ac:dyDescent="0.25">
      <c r="A248">
        <v>167</v>
      </c>
      <c r="B248" t="s">
        <v>492</v>
      </c>
      <c r="C248" t="s">
        <v>322</v>
      </c>
      <c r="D248" t="s">
        <v>445</v>
      </c>
      <c r="E248">
        <v>0</v>
      </c>
      <c r="F248">
        <v>90</v>
      </c>
      <c r="G248">
        <v>0</v>
      </c>
    </row>
    <row r="249" spans="1:7" x14ac:dyDescent="0.25">
      <c r="A249">
        <v>479</v>
      </c>
      <c r="B249" t="s">
        <v>493</v>
      </c>
      <c r="C249" t="s">
        <v>322</v>
      </c>
      <c r="D249" t="s">
        <v>444</v>
      </c>
      <c r="E249">
        <v>0</v>
      </c>
      <c r="F249">
        <v>80</v>
      </c>
      <c r="G249">
        <v>72</v>
      </c>
    </row>
    <row r="250" spans="1:7" x14ac:dyDescent="0.25">
      <c r="A250">
        <v>168</v>
      </c>
      <c r="B250" t="s">
        <v>494</v>
      </c>
      <c r="C250" t="s">
        <v>322</v>
      </c>
      <c r="D250"/>
      <c r="E250">
        <v>0</v>
      </c>
      <c r="F250">
        <v>70</v>
      </c>
      <c r="G250">
        <v>0</v>
      </c>
    </row>
    <row r="251" spans="1:7" x14ac:dyDescent="0.25">
      <c r="A251">
        <v>169</v>
      </c>
      <c r="B251" t="s">
        <v>495</v>
      </c>
      <c r="C251" t="s">
        <v>322</v>
      </c>
      <c r="D251"/>
      <c r="E251">
        <v>0</v>
      </c>
      <c r="F251">
        <v>60</v>
      </c>
      <c r="G251">
        <v>0</v>
      </c>
    </row>
    <row r="252" spans="1:7" x14ac:dyDescent="0.25">
      <c r="A252" t="s">
        <v>478</v>
      </c>
      <c r="B252" t="s">
        <v>479</v>
      </c>
      <c r="C252" t="s">
        <v>322</v>
      </c>
      <c r="D252"/>
      <c r="E252">
        <v>0</v>
      </c>
      <c r="F252"/>
      <c r="G252">
        <v>0</v>
      </c>
    </row>
    <row r="253" spans="1:7" x14ac:dyDescent="0.25">
      <c r="A253">
        <v>170</v>
      </c>
      <c r="B253" t="s">
        <v>496</v>
      </c>
      <c r="C253" t="s">
        <v>322</v>
      </c>
      <c r="D253"/>
      <c r="E253">
        <v>0</v>
      </c>
      <c r="F253">
        <v>35</v>
      </c>
      <c r="G253">
        <v>0</v>
      </c>
    </row>
    <row r="254" spans="1:7" x14ac:dyDescent="0.25">
      <c r="A254" t="s">
        <v>478</v>
      </c>
      <c r="B254" t="s">
        <v>479</v>
      </c>
      <c r="C254" t="s">
        <v>322</v>
      </c>
      <c r="D254"/>
      <c r="E254">
        <v>0</v>
      </c>
      <c r="F254"/>
      <c r="G254">
        <v>0</v>
      </c>
    </row>
    <row r="255" spans="1:7" x14ac:dyDescent="0.25">
      <c r="A255">
        <v>1646</v>
      </c>
      <c r="B255" t="s">
        <v>474</v>
      </c>
      <c r="C255" t="s">
        <v>322</v>
      </c>
      <c r="D255"/>
      <c r="E255">
        <v>0</v>
      </c>
      <c r="F255"/>
      <c r="G255">
        <v>0</v>
      </c>
    </row>
    <row r="256" spans="1:7" x14ac:dyDescent="0.25">
      <c r="A256">
        <v>1647</v>
      </c>
      <c r="B256" t="s">
        <v>475</v>
      </c>
      <c r="C256" t="s">
        <v>322</v>
      </c>
      <c r="D256"/>
      <c r="E256">
        <v>0</v>
      </c>
      <c r="F256"/>
      <c r="G256">
        <v>0</v>
      </c>
    </row>
    <row r="257" spans="1:7" x14ac:dyDescent="0.25">
      <c r="A257">
        <v>1648</v>
      </c>
      <c r="B257" t="s">
        <v>476</v>
      </c>
      <c r="C257" t="s">
        <v>322</v>
      </c>
      <c r="D257"/>
      <c r="E257">
        <v>0</v>
      </c>
      <c r="F257"/>
      <c r="G257">
        <v>0</v>
      </c>
    </row>
    <row r="258" spans="1:7" x14ac:dyDescent="0.25">
      <c r="A258">
        <v>1649</v>
      </c>
      <c r="B258" t="s">
        <v>477</v>
      </c>
      <c r="C258" t="s">
        <v>322</v>
      </c>
      <c r="D258"/>
      <c r="E258">
        <v>2</v>
      </c>
      <c r="F258"/>
      <c r="G258">
        <v>104</v>
      </c>
    </row>
    <row r="259" spans="1:7" x14ac:dyDescent="0.25">
      <c r="A259" t="s">
        <v>478</v>
      </c>
      <c r="B259" t="s">
        <v>479</v>
      </c>
      <c r="C259" t="s">
        <v>322</v>
      </c>
      <c r="D259"/>
      <c r="E259">
        <v>0</v>
      </c>
      <c r="F259"/>
      <c r="G259">
        <v>0</v>
      </c>
    </row>
    <row r="260" spans="1:7" x14ac:dyDescent="0.25">
      <c r="A260">
        <v>1650</v>
      </c>
      <c r="B260" t="s">
        <v>480</v>
      </c>
      <c r="C260" t="s">
        <v>322</v>
      </c>
      <c r="D260"/>
      <c r="E260">
        <v>0</v>
      </c>
      <c r="F260"/>
      <c r="G260">
        <v>0</v>
      </c>
    </row>
    <row r="261" spans="1:7" x14ac:dyDescent="0.25">
      <c r="A261" t="s">
        <v>478</v>
      </c>
      <c r="B261" t="s">
        <v>479</v>
      </c>
      <c r="C261" t="s">
        <v>322</v>
      </c>
      <c r="D261"/>
      <c r="E261">
        <v>0</v>
      </c>
      <c r="F261"/>
      <c r="G261">
        <v>0</v>
      </c>
    </row>
    <row r="262" spans="1:7" x14ac:dyDescent="0.25">
      <c r="A262">
        <v>1651</v>
      </c>
      <c r="B262" t="s">
        <v>481</v>
      </c>
      <c r="C262" t="s">
        <v>322</v>
      </c>
      <c r="D262"/>
      <c r="E262">
        <v>0</v>
      </c>
      <c r="F262"/>
      <c r="G262">
        <v>0</v>
      </c>
    </row>
    <row r="263" spans="1:7" x14ac:dyDescent="0.25">
      <c r="A263">
        <v>1652</v>
      </c>
      <c r="B263" t="s">
        <v>482</v>
      </c>
      <c r="C263" t="s">
        <v>322</v>
      </c>
      <c r="D263"/>
      <c r="E263">
        <v>0</v>
      </c>
      <c r="F263"/>
      <c r="G263">
        <v>0</v>
      </c>
    </row>
    <row r="264" spans="1:7" x14ac:dyDescent="0.25">
      <c r="A264">
        <v>1653</v>
      </c>
      <c r="B264" t="s">
        <v>483</v>
      </c>
      <c r="C264" t="s">
        <v>322</v>
      </c>
      <c r="D264"/>
      <c r="E264">
        <v>0</v>
      </c>
      <c r="F264"/>
      <c r="G264">
        <v>0</v>
      </c>
    </row>
    <row r="265" spans="1:7" x14ac:dyDescent="0.25">
      <c r="A265">
        <v>1654</v>
      </c>
      <c r="B265" t="s">
        <v>484</v>
      </c>
      <c r="C265" t="s">
        <v>322</v>
      </c>
      <c r="D265"/>
      <c r="E265">
        <v>0</v>
      </c>
      <c r="F265"/>
      <c r="G265">
        <v>0</v>
      </c>
    </row>
    <row r="266" spans="1:7" x14ac:dyDescent="0.25">
      <c r="A266" t="s">
        <v>478</v>
      </c>
      <c r="B266" t="s">
        <v>479</v>
      </c>
      <c r="C266" t="s">
        <v>322</v>
      </c>
      <c r="D266" t="s">
        <v>445</v>
      </c>
      <c r="E266">
        <v>141</v>
      </c>
      <c r="F266"/>
      <c r="G266">
        <v>3150</v>
      </c>
    </row>
    <row r="267" spans="1:7" x14ac:dyDescent="0.25">
      <c r="A267">
        <v>1655</v>
      </c>
      <c r="B267" t="s">
        <v>485</v>
      </c>
      <c r="C267" t="s">
        <v>322</v>
      </c>
      <c r="D267"/>
      <c r="E267">
        <v>0</v>
      </c>
      <c r="F267"/>
      <c r="G267">
        <v>0</v>
      </c>
    </row>
    <row r="268" spans="1:7" x14ac:dyDescent="0.25">
      <c r="A268">
        <v>1787</v>
      </c>
      <c r="B268" t="s">
        <v>486</v>
      </c>
      <c r="C268" t="s">
        <v>322</v>
      </c>
      <c r="D268"/>
      <c r="E268">
        <v>0</v>
      </c>
      <c r="F268"/>
      <c r="G268">
        <v>0</v>
      </c>
    </row>
    <row r="269" spans="1:7" x14ac:dyDescent="0.25">
      <c r="A269">
        <v>1656</v>
      </c>
      <c r="B269" t="s">
        <v>487</v>
      </c>
      <c r="C269" t="s">
        <v>322</v>
      </c>
      <c r="D269"/>
      <c r="E269">
        <v>0</v>
      </c>
      <c r="F269">
        <v>110</v>
      </c>
      <c r="G269">
        <v>0</v>
      </c>
    </row>
    <row r="270" spans="1:7" x14ac:dyDescent="0.25">
      <c r="A270">
        <v>1657</v>
      </c>
      <c r="B270" t="s">
        <v>488</v>
      </c>
      <c r="C270" t="s">
        <v>322</v>
      </c>
      <c r="D270"/>
      <c r="E270">
        <v>0</v>
      </c>
      <c r="F270">
        <v>110</v>
      </c>
      <c r="G270">
        <v>0</v>
      </c>
    </row>
    <row r="271" spans="1:7" x14ac:dyDescent="0.25">
      <c r="A271">
        <v>1658</v>
      </c>
      <c r="B271" t="s">
        <v>489</v>
      </c>
      <c r="C271" t="s">
        <v>322</v>
      </c>
      <c r="D271"/>
      <c r="E271">
        <v>0</v>
      </c>
      <c r="F271">
        <v>80</v>
      </c>
      <c r="G271">
        <v>0</v>
      </c>
    </row>
    <row r="272" spans="1:7" x14ac:dyDescent="0.25">
      <c r="A272">
        <v>1659</v>
      </c>
      <c r="B272" t="s">
        <v>490</v>
      </c>
      <c r="C272" t="s">
        <v>322</v>
      </c>
      <c r="D272"/>
      <c r="E272">
        <v>0</v>
      </c>
      <c r="F272">
        <v>70</v>
      </c>
      <c r="G272">
        <v>0</v>
      </c>
    </row>
    <row r="273" spans="1:7" x14ac:dyDescent="0.25">
      <c r="A273" t="s">
        <v>478</v>
      </c>
      <c r="B273" t="s">
        <v>479</v>
      </c>
      <c r="C273" t="s">
        <v>322</v>
      </c>
      <c r="D273" t="s">
        <v>458</v>
      </c>
      <c r="E273">
        <v>1</v>
      </c>
      <c r="F273"/>
      <c r="G273">
        <v>0</v>
      </c>
    </row>
    <row r="274" spans="1:7" x14ac:dyDescent="0.25">
      <c r="A274">
        <v>1660</v>
      </c>
      <c r="B274" t="s">
        <v>491</v>
      </c>
      <c r="C274" t="s">
        <v>322</v>
      </c>
      <c r="D274"/>
      <c r="E274">
        <v>0</v>
      </c>
      <c r="F274">
        <v>45</v>
      </c>
      <c r="G274">
        <v>0</v>
      </c>
    </row>
    <row r="275" spans="1:7" x14ac:dyDescent="0.25">
      <c r="A275" t="s">
        <v>478</v>
      </c>
      <c r="B275" t="s">
        <v>479</v>
      </c>
      <c r="C275" t="s">
        <v>322</v>
      </c>
      <c r="D275" t="s">
        <v>448</v>
      </c>
      <c r="E275">
        <v>0</v>
      </c>
      <c r="F275"/>
      <c r="G275">
        <v>0</v>
      </c>
    </row>
    <row r="276" spans="1:7" x14ac:dyDescent="0.25">
      <c r="A276">
        <v>1661</v>
      </c>
      <c r="B276" t="s">
        <v>492</v>
      </c>
      <c r="C276" t="s">
        <v>322</v>
      </c>
      <c r="D276" t="s">
        <v>448</v>
      </c>
      <c r="E276">
        <v>0</v>
      </c>
      <c r="F276">
        <v>90</v>
      </c>
      <c r="G276">
        <v>0</v>
      </c>
    </row>
    <row r="277" spans="1:7" x14ac:dyDescent="0.25">
      <c r="A277">
        <v>1662</v>
      </c>
      <c r="B277" t="s">
        <v>493</v>
      </c>
      <c r="C277" t="s">
        <v>322</v>
      </c>
      <c r="D277" t="s">
        <v>448</v>
      </c>
      <c r="E277">
        <v>0</v>
      </c>
      <c r="F277">
        <v>80</v>
      </c>
      <c r="G277">
        <v>0</v>
      </c>
    </row>
    <row r="278" spans="1:7" x14ac:dyDescent="0.25">
      <c r="A278">
        <v>1663</v>
      </c>
      <c r="B278" t="s">
        <v>494</v>
      </c>
      <c r="C278" t="s">
        <v>322</v>
      </c>
      <c r="D278" t="s">
        <v>448</v>
      </c>
      <c r="E278">
        <v>0</v>
      </c>
      <c r="F278">
        <v>70</v>
      </c>
      <c r="G278">
        <v>0</v>
      </c>
    </row>
    <row r="279" spans="1:7" x14ac:dyDescent="0.25">
      <c r="A279">
        <v>1664</v>
      </c>
      <c r="B279" t="s">
        <v>495</v>
      </c>
      <c r="C279" t="s">
        <v>322</v>
      </c>
      <c r="D279" t="s">
        <v>448</v>
      </c>
      <c r="E279">
        <v>0</v>
      </c>
      <c r="F279">
        <v>60</v>
      </c>
      <c r="G279">
        <v>0</v>
      </c>
    </row>
    <row r="280" spans="1:7" x14ac:dyDescent="0.25">
      <c r="A280" t="s">
        <v>478</v>
      </c>
      <c r="B280" t="s">
        <v>479</v>
      </c>
      <c r="C280" t="s">
        <v>322</v>
      </c>
      <c r="D280" t="s">
        <v>448</v>
      </c>
      <c r="E280">
        <v>0</v>
      </c>
      <c r="F280"/>
      <c r="G280">
        <v>0</v>
      </c>
    </row>
    <row r="281" spans="1:7" x14ac:dyDescent="0.25">
      <c r="A281">
        <v>1665</v>
      </c>
      <c r="B281" t="s">
        <v>496</v>
      </c>
      <c r="C281" t="s">
        <v>322</v>
      </c>
      <c r="D281" t="s">
        <v>448</v>
      </c>
      <c r="E281">
        <v>0</v>
      </c>
      <c r="F281">
        <v>35</v>
      </c>
      <c r="G281">
        <v>0</v>
      </c>
    </row>
    <row r="282" spans="1:7" x14ac:dyDescent="0.25">
      <c r="A282" t="s">
        <v>478</v>
      </c>
      <c r="B282" t="s">
        <v>479</v>
      </c>
      <c r="C282" t="s">
        <v>322</v>
      </c>
      <c r="D282" t="s">
        <v>448</v>
      </c>
      <c r="E282">
        <v>0</v>
      </c>
      <c r="F282"/>
      <c r="G282">
        <v>0</v>
      </c>
    </row>
    <row r="283" spans="1:7" x14ac:dyDescent="0.25">
      <c r="A283">
        <v>1616</v>
      </c>
      <c r="B283" t="s">
        <v>497</v>
      </c>
      <c r="C283" t="s">
        <v>322</v>
      </c>
      <c r="D283" t="s">
        <v>448</v>
      </c>
      <c r="E283">
        <v>0</v>
      </c>
      <c r="F283"/>
      <c r="G283">
        <v>0</v>
      </c>
    </row>
    <row r="284" spans="1:7" x14ac:dyDescent="0.25">
      <c r="A284">
        <v>1617</v>
      </c>
      <c r="B284" t="s">
        <v>498</v>
      </c>
      <c r="C284" t="s">
        <v>322</v>
      </c>
      <c r="D284" t="s">
        <v>448</v>
      </c>
      <c r="E284">
        <v>0</v>
      </c>
      <c r="F284"/>
      <c r="G284">
        <v>0</v>
      </c>
    </row>
    <row r="285" spans="1:7" x14ac:dyDescent="0.25">
      <c r="A285">
        <v>1618</v>
      </c>
      <c r="B285" t="s">
        <v>499</v>
      </c>
      <c r="C285" t="s">
        <v>322</v>
      </c>
      <c r="D285" t="s">
        <v>448</v>
      </c>
      <c r="E285">
        <v>0</v>
      </c>
      <c r="F285"/>
      <c r="G285">
        <v>0</v>
      </c>
    </row>
    <row r="286" spans="1:7" x14ac:dyDescent="0.25">
      <c r="A286">
        <v>1619</v>
      </c>
      <c r="B286" t="s">
        <v>500</v>
      </c>
      <c r="C286" t="s">
        <v>322</v>
      </c>
      <c r="D286" t="s">
        <v>448</v>
      </c>
      <c r="E286">
        <v>0</v>
      </c>
      <c r="F286"/>
      <c r="G286">
        <v>0</v>
      </c>
    </row>
    <row r="287" spans="1:7" x14ac:dyDescent="0.25">
      <c r="A287" t="s">
        <v>478</v>
      </c>
      <c r="B287" t="s">
        <v>479</v>
      </c>
      <c r="C287" t="s">
        <v>322</v>
      </c>
      <c r="D287" t="s">
        <v>448</v>
      </c>
      <c r="E287">
        <v>0</v>
      </c>
      <c r="F287"/>
      <c r="G287">
        <v>0</v>
      </c>
    </row>
    <row r="288" spans="1:7" x14ac:dyDescent="0.25">
      <c r="A288">
        <v>1620</v>
      </c>
      <c r="B288" t="s">
        <v>501</v>
      </c>
      <c r="C288" t="s">
        <v>322</v>
      </c>
      <c r="D288" t="s">
        <v>448</v>
      </c>
      <c r="E288">
        <v>0</v>
      </c>
      <c r="F288"/>
      <c r="G288">
        <v>0</v>
      </c>
    </row>
    <row r="289" spans="1:7" x14ac:dyDescent="0.25">
      <c r="A289" t="s">
        <v>478</v>
      </c>
      <c r="B289" t="s">
        <v>479</v>
      </c>
      <c r="C289" t="s">
        <v>322</v>
      </c>
      <c r="D289" t="s">
        <v>448</v>
      </c>
      <c r="E289">
        <v>0</v>
      </c>
      <c r="F289"/>
      <c r="G289">
        <v>0</v>
      </c>
    </row>
    <row r="290" spans="1:7" x14ac:dyDescent="0.25">
      <c r="A290">
        <v>1611</v>
      </c>
      <c r="B290" t="s">
        <v>502</v>
      </c>
      <c r="C290" t="s">
        <v>322</v>
      </c>
      <c r="D290" t="s">
        <v>448</v>
      </c>
      <c r="E290">
        <v>0</v>
      </c>
      <c r="F290"/>
      <c r="G290">
        <v>0</v>
      </c>
    </row>
    <row r="291" spans="1:7" x14ac:dyDescent="0.25">
      <c r="A291">
        <v>1612</v>
      </c>
      <c r="B291" t="s">
        <v>503</v>
      </c>
      <c r="C291" t="s">
        <v>322</v>
      </c>
      <c r="D291" t="s">
        <v>448</v>
      </c>
      <c r="E291">
        <v>0</v>
      </c>
      <c r="F291"/>
      <c r="G291">
        <v>0</v>
      </c>
    </row>
    <row r="292" spans="1:7" x14ac:dyDescent="0.25">
      <c r="A292">
        <v>1613</v>
      </c>
      <c r="B292" t="s">
        <v>504</v>
      </c>
      <c r="C292" t="s">
        <v>322</v>
      </c>
      <c r="D292" t="s">
        <v>448</v>
      </c>
      <c r="E292">
        <v>0</v>
      </c>
      <c r="F292"/>
      <c r="G292">
        <v>0</v>
      </c>
    </row>
    <row r="293" spans="1:7" x14ac:dyDescent="0.25">
      <c r="A293">
        <v>1614</v>
      </c>
      <c r="B293" t="s">
        <v>505</v>
      </c>
      <c r="C293" t="s">
        <v>322</v>
      </c>
      <c r="D293" t="s">
        <v>448</v>
      </c>
      <c r="E293">
        <v>0</v>
      </c>
      <c r="F293"/>
      <c r="G293">
        <v>0</v>
      </c>
    </row>
    <row r="294" spans="1:7" x14ac:dyDescent="0.25">
      <c r="A294" t="s">
        <v>478</v>
      </c>
      <c r="B294" t="s">
        <v>479</v>
      </c>
      <c r="C294" t="s">
        <v>322</v>
      </c>
      <c r="D294" t="s">
        <v>448</v>
      </c>
      <c r="E294">
        <v>0</v>
      </c>
      <c r="F294"/>
      <c r="G294">
        <v>0</v>
      </c>
    </row>
    <row r="295" spans="1:7" x14ac:dyDescent="0.25">
      <c r="A295">
        <v>1615</v>
      </c>
      <c r="B295" t="s">
        <v>506</v>
      </c>
      <c r="C295" t="s">
        <v>322</v>
      </c>
      <c r="D295" t="s">
        <v>448</v>
      </c>
      <c r="E295">
        <v>0</v>
      </c>
      <c r="F295"/>
      <c r="G295">
        <v>0</v>
      </c>
    </row>
    <row r="296" spans="1:7" x14ac:dyDescent="0.25">
      <c r="A296" t="s">
        <v>478</v>
      </c>
      <c r="B296" t="s">
        <v>479</v>
      </c>
      <c r="C296" t="s">
        <v>322</v>
      </c>
      <c r="D296" t="s">
        <v>448</v>
      </c>
      <c r="E296">
        <v>0</v>
      </c>
      <c r="F296"/>
      <c r="G296">
        <v>0</v>
      </c>
    </row>
    <row r="297" spans="1:7" x14ac:dyDescent="0.25">
      <c r="A297">
        <v>1621</v>
      </c>
      <c r="B297" t="s">
        <v>507</v>
      </c>
      <c r="C297" t="s">
        <v>322</v>
      </c>
      <c r="D297" t="s">
        <v>448</v>
      </c>
      <c r="E297">
        <v>0</v>
      </c>
      <c r="F297"/>
      <c r="G297">
        <v>0</v>
      </c>
    </row>
    <row r="298" spans="1:7" x14ac:dyDescent="0.25">
      <c r="A298">
        <v>1622</v>
      </c>
      <c r="B298" t="s">
        <v>508</v>
      </c>
      <c r="C298" t="s">
        <v>322</v>
      </c>
      <c r="D298" t="s">
        <v>448</v>
      </c>
      <c r="E298">
        <v>0</v>
      </c>
      <c r="F298"/>
      <c r="G298">
        <v>0</v>
      </c>
    </row>
    <row r="299" spans="1:7" x14ac:dyDescent="0.25">
      <c r="A299">
        <v>1623</v>
      </c>
      <c r="B299" t="s">
        <v>509</v>
      </c>
      <c r="C299" t="s">
        <v>322</v>
      </c>
      <c r="D299" t="s">
        <v>448</v>
      </c>
      <c r="E299">
        <v>0</v>
      </c>
      <c r="F299"/>
      <c r="G299">
        <v>0</v>
      </c>
    </row>
    <row r="300" spans="1:7" x14ac:dyDescent="0.25">
      <c r="A300">
        <v>1624</v>
      </c>
      <c r="B300" t="s">
        <v>510</v>
      </c>
      <c r="C300" t="s">
        <v>322</v>
      </c>
      <c r="D300" t="s">
        <v>448</v>
      </c>
      <c r="E300">
        <v>0</v>
      </c>
      <c r="F300"/>
      <c r="G300">
        <v>0</v>
      </c>
    </row>
    <row r="301" spans="1:7" x14ac:dyDescent="0.25">
      <c r="A301" t="s">
        <v>478</v>
      </c>
      <c r="B301" t="s">
        <v>479</v>
      </c>
      <c r="C301" t="s">
        <v>322</v>
      </c>
      <c r="D301" t="s">
        <v>448</v>
      </c>
      <c r="E301">
        <v>0</v>
      </c>
      <c r="F301"/>
      <c r="G301">
        <v>0</v>
      </c>
    </row>
    <row r="302" spans="1:7" x14ac:dyDescent="0.25">
      <c r="A302">
        <v>1625</v>
      </c>
      <c r="B302" t="s">
        <v>511</v>
      </c>
      <c r="C302" t="s">
        <v>322</v>
      </c>
      <c r="D302" t="s">
        <v>448</v>
      </c>
      <c r="E302">
        <v>0</v>
      </c>
      <c r="F302"/>
      <c r="G302">
        <v>0</v>
      </c>
    </row>
    <row r="303" spans="1:7" x14ac:dyDescent="0.25">
      <c r="A303" t="s">
        <v>478</v>
      </c>
      <c r="B303" t="s">
        <v>479</v>
      </c>
      <c r="C303" t="s">
        <v>322</v>
      </c>
      <c r="D303" t="s">
        <v>448</v>
      </c>
      <c r="E303">
        <v>0</v>
      </c>
      <c r="F303"/>
      <c r="G303">
        <v>0</v>
      </c>
    </row>
    <row r="304" spans="1:7" x14ac:dyDescent="0.25">
      <c r="A304">
        <v>1626</v>
      </c>
      <c r="B304" t="s">
        <v>512</v>
      </c>
      <c r="C304" t="s">
        <v>322</v>
      </c>
      <c r="D304" t="s">
        <v>448</v>
      </c>
      <c r="E304">
        <v>0</v>
      </c>
      <c r="F304"/>
      <c r="G304">
        <v>0</v>
      </c>
    </row>
    <row r="305" spans="1:7" x14ac:dyDescent="0.25">
      <c r="A305">
        <v>1627</v>
      </c>
      <c r="B305" t="s">
        <v>513</v>
      </c>
      <c r="C305" t="s">
        <v>322</v>
      </c>
      <c r="D305" t="s">
        <v>448</v>
      </c>
      <c r="E305">
        <v>0</v>
      </c>
      <c r="F305"/>
      <c r="G305">
        <v>0</v>
      </c>
    </row>
    <row r="306" spans="1:7" x14ac:dyDescent="0.25">
      <c r="A306">
        <v>1628</v>
      </c>
      <c r="B306" t="s">
        <v>514</v>
      </c>
      <c r="C306" t="s">
        <v>322</v>
      </c>
      <c r="D306" t="s">
        <v>448</v>
      </c>
      <c r="E306">
        <v>0</v>
      </c>
      <c r="F306"/>
      <c r="G306">
        <v>0</v>
      </c>
    </row>
    <row r="307" spans="1:7" x14ac:dyDescent="0.25">
      <c r="A307">
        <v>1629</v>
      </c>
      <c r="B307" t="s">
        <v>515</v>
      </c>
      <c r="C307" t="s">
        <v>322</v>
      </c>
      <c r="D307" t="s">
        <v>448</v>
      </c>
      <c r="E307">
        <v>0</v>
      </c>
      <c r="F307"/>
      <c r="G307">
        <v>0</v>
      </c>
    </row>
    <row r="308" spans="1:7" x14ac:dyDescent="0.25">
      <c r="A308" t="s">
        <v>478</v>
      </c>
      <c r="B308" t="s">
        <v>479</v>
      </c>
      <c r="C308" t="s">
        <v>322</v>
      </c>
      <c r="D308" t="s">
        <v>448</v>
      </c>
      <c r="E308">
        <v>0</v>
      </c>
      <c r="F308"/>
      <c r="G308">
        <v>0</v>
      </c>
    </row>
    <row r="309" spans="1:7" x14ac:dyDescent="0.25">
      <c r="A309">
        <v>1630</v>
      </c>
      <c r="B309" t="s">
        <v>516</v>
      </c>
      <c r="C309" t="s">
        <v>322</v>
      </c>
      <c r="D309" t="s">
        <v>448</v>
      </c>
      <c r="E309">
        <v>0</v>
      </c>
      <c r="F309"/>
      <c r="G309">
        <v>0</v>
      </c>
    </row>
    <row r="310" spans="1:7" x14ac:dyDescent="0.25">
      <c r="A310" t="s">
        <v>478</v>
      </c>
      <c r="B310" t="s">
        <v>479</v>
      </c>
      <c r="C310" t="s">
        <v>322</v>
      </c>
      <c r="D310" t="s">
        <v>448</v>
      </c>
      <c r="E310">
        <v>0</v>
      </c>
      <c r="F310"/>
      <c r="G310">
        <v>0</v>
      </c>
    </row>
    <row r="311" spans="1:7" x14ac:dyDescent="0.25">
      <c r="A311">
        <v>414</v>
      </c>
      <c r="B311" t="s">
        <v>497</v>
      </c>
      <c r="C311" t="s">
        <v>322</v>
      </c>
      <c r="D311" t="s">
        <v>448</v>
      </c>
      <c r="E311">
        <v>0</v>
      </c>
      <c r="F311">
        <v>110</v>
      </c>
      <c r="G311">
        <v>0</v>
      </c>
    </row>
    <row r="312" spans="1:7" x14ac:dyDescent="0.25">
      <c r="A312">
        <v>476</v>
      </c>
      <c r="B312" t="s">
        <v>498</v>
      </c>
      <c r="C312" t="s">
        <v>322</v>
      </c>
      <c r="D312" t="s">
        <v>448</v>
      </c>
      <c r="E312">
        <v>0</v>
      </c>
      <c r="F312">
        <v>86</v>
      </c>
      <c r="G312">
        <v>0</v>
      </c>
    </row>
    <row r="313" spans="1:7" x14ac:dyDescent="0.25">
      <c r="A313">
        <v>419</v>
      </c>
      <c r="B313" t="s">
        <v>499</v>
      </c>
      <c r="C313" t="s">
        <v>322</v>
      </c>
      <c r="D313" t="s">
        <v>448</v>
      </c>
      <c r="E313">
        <v>0</v>
      </c>
      <c r="F313">
        <v>70</v>
      </c>
      <c r="G313">
        <v>0</v>
      </c>
    </row>
    <row r="314" spans="1:7" x14ac:dyDescent="0.25">
      <c r="A314">
        <v>423</v>
      </c>
      <c r="B314" t="s">
        <v>500</v>
      </c>
      <c r="C314" t="s">
        <v>322</v>
      </c>
      <c r="D314" t="s">
        <v>448</v>
      </c>
      <c r="E314">
        <v>0</v>
      </c>
      <c r="F314">
        <v>52</v>
      </c>
      <c r="G314">
        <v>0</v>
      </c>
    </row>
    <row r="315" spans="1:7" x14ac:dyDescent="0.25">
      <c r="A315" t="s">
        <v>478</v>
      </c>
      <c r="B315" t="s">
        <v>479</v>
      </c>
      <c r="C315" t="s">
        <v>322</v>
      </c>
      <c r="D315" t="s">
        <v>459</v>
      </c>
      <c r="E315">
        <v>1</v>
      </c>
      <c r="F315"/>
      <c r="G315">
        <v>900</v>
      </c>
    </row>
    <row r="316" spans="1:7" x14ac:dyDescent="0.25">
      <c r="A316">
        <v>427</v>
      </c>
      <c r="B316" t="s">
        <v>501</v>
      </c>
      <c r="C316" t="s">
        <v>322</v>
      </c>
      <c r="D316" t="s">
        <v>449</v>
      </c>
      <c r="E316">
        <v>0</v>
      </c>
      <c r="F316">
        <v>42</v>
      </c>
      <c r="G316">
        <v>0</v>
      </c>
    </row>
    <row r="317" spans="1:7" x14ac:dyDescent="0.25">
      <c r="A317" t="s">
        <v>478</v>
      </c>
      <c r="B317" t="s">
        <v>479</v>
      </c>
      <c r="C317" t="s">
        <v>322</v>
      </c>
      <c r="D317"/>
      <c r="E317"/>
      <c r="F317"/>
      <c r="G317">
        <v>0</v>
      </c>
    </row>
    <row r="318" spans="1:7" x14ac:dyDescent="0.25">
      <c r="A318">
        <v>417</v>
      </c>
      <c r="B318" t="s">
        <v>502</v>
      </c>
      <c r="C318" t="s">
        <v>322</v>
      </c>
      <c r="D318" t="s">
        <v>445</v>
      </c>
      <c r="E318">
        <v>13</v>
      </c>
      <c r="F318">
        <v>86</v>
      </c>
      <c r="G318">
        <v>0</v>
      </c>
    </row>
    <row r="319" spans="1:7" x14ac:dyDescent="0.25">
      <c r="A319">
        <v>474</v>
      </c>
      <c r="B319" t="s">
        <v>503</v>
      </c>
      <c r="C319" t="s">
        <v>322</v>
      </c>
      <c r="D319" t="s">
        <v>447</v>
      </c>
      <c r="E319">
        <v>30</v>
      </c>
      <c r="F319">
        <v>70</v>
      </c>
      <c r="G319">
        <v>0</v>
      </c>
    </row>
    <row r="320" spans="1:7" x14ac:dyDescent="0.25">
      <c r="A320">
        <v>421</v>
      </c>
      <c r="B320" t="s">
        <v>504</v>
      </c>
      <c r="C320" t="s">
        <v>322</v>
      </c>
      <c r="D320"/>
      <c r="E320"/>
      <c r="F320">
        <v>60</v>
      </c>
      <c r="G320">
        <v>0</v>
      </c>
    </row>
    <row r="321" spans="1:7" x14ac:dyDescent="0.25">
      <c r="A321">
        <v>425</v>
      </c>
      <c r="B321" t="s">
        <v>505</v>
      </c>
      <c r="C321" t="s">
        <v>322</v>
      </c>
      <c r="D321" t="s">
        <v>446</v>
      </c>
      <c r="E321">
        <v>0</v>
      </c>
      <c r="F321">
        <v>44</v>
      </c>
      <c r="G321">
        <v>0</v>
      </c>
    </row>
    <row r="322" spans="1:7" x14ac:dyDescent="0.25">
      <c r="A322" t="s">
        <v>478</v>
      </c>
      <c r="B322" t="s">
        <v>479</v>
      </c>
      <c r="C322" t="s">
        <v>322</v>
      </c>
      <c r="D322" t="s">
        <v>446</v>
      </c>
      <c r="E322">
        <v>0</v>
      </c>
      <c r="F322"/>
      <c r="G322">
        <v>0</v>
      </c>
    </row>
    <row r="323" spans="1:7" x14ac:dyDescent="0.25">
      <c r="A323">
        <v>429</v>
      </c>
      <c r="B323" t="s">
        <v>506</v>
      </c>
      <c r="C323" t="s">
        <v>322</v>
      </c>
      <c r="D323" t="s">
        <v>446</v>
      </c>
      <c r="E323">
        <v>0</v>
      </c>
      <c r="F323">
        <v>28</v>
      </c>
      <c r="G323">
        <v>0</v>
      </c>
    </row>
    <row r="324" spans="1:7" x14ac:dyDescent="0.25">
      <c r="A324" t="s">
        <v>478</v>
      </c>
      <c r="B324" t="s">
        <v>479</v>
      </c>
      <c r="C324" t="s">
        <v>322</v>
      </c>
      <c r="D324" t="s">
        <v>446</v>
      </c>
      <c r="E324">
        <v>14</v>
      </c>
      <c r="F324"/>
      <c r="G324">
        <v>560</v>
      </c>
    </row>
    <row r="325" spans="1:7" x14ac:dyDescent="0.25">
      <c r="A325">
        <v>416</v>
      </c>
      <c r="B325" t="s">
        <v>507</v>
      </c>
      <c r="C325" t="s">
        <v>322</v>
      </c>
      <c r="D325" t="s">
        <v>445</v>
      </c>
      <c r="E325"/>
      <c r="F325">
        <v>100</v>
      </c>
      <c r="G325">
        <v>0</v>
      </c>
    </row>
    <row r="326" spans="1:7" x14ac:dyDescent="0.25">
      <c r="A326">
        <v>477</v>
      </c>
      <c r="B326" t="s">
        <v>508</v>
      </c>
      <c r="C326" t="s">
        <v>322</v>
      </c>
      <c r="D326" t="s">
        <v>445</v>
      </c>
      <c r="E326"/>
      <c r="F326"/>
      <c r="G326">
        <v>0</v>
      </c>
    </row>
    <row r="327" spans="1:7" x14ac:dyDescent="0.25">
      <c r="A327">
        <v>420</v>
      </c>
      <c r="B327" t="s">
        <v>509</v>
      </c>
      <c r="C327" t="s">
        <v>322</v>
      </c>
      <c r="D327" t="s">
        <v>445</v>
      </c>
      <c r="E327"/>
      <c r="F327">
        <v>66</v>
      </c>
      <c r="G327">
        <v>0</v>
      </c>
    </row>
    <row r="328" spans="1:7" x14ac:dyDescent="0.25">
      <c r="A328">
        <v>424</v>
      </c>
      <c r="B328" t="s">
        <v>510</v>
      </c>
      <c r="C328" t="s">
        <v>322</v>
      </c>
      <c r="D328" t="s">
        <v>445</v>
      </c>
      <c r="E328">
        <v>0</v>
      </c>
      <c r="F328">
        <v>48</v>
      </c>
      <c r="G328">
        <v>0</v>
      </c>
    </row>
    <row r="329" spans="1:7" x14ac:dyDescent="0.25">
      <c r="A329" t="s">
        <v>478</v>
      </c>
      <c r="B329" t="s">
        <v>479</v>
      </c>
      <c r="C329" t="s">
        <v>322</v>
      </c>
      <c r="D329" t="s">
        <v>445</v>
      </c>
      <c r="E329">
        <v>0</v>
      </c>
      <c r="F329"/>
      <c r="G329">
        <v>0</v>
      </c>
    </row>
    <row r="330" spans="1:7" x14ac:dyDescent="0.25">
      <c r="A330">
        <v>428</v>
      </c>
      <c r="B330" t="s">
        <v>511</v>
      </c>
      <c r="C330" t="s">
        <v>322</v>
      </c>
      <c r="D330"/>
      <c r="E330">
        <v>13</v>
      </c>
      <c r="F330">
        <v>32</v>
      </c>
      <c r="G330">
        <v>156</v>
      </c>
    </row>
    <row r="331" spans="1:7" x14ac:dyDescent="0.25">
      <c r="A331" t="s">
        <v>478</v>
      </c>
      <c r="B331" t="s">
        <v>479</v>
      </c>
      <c r="C331" t="s">
        <v>322</v>
      </c>
      <c r="D331"/>
      <c r="E331">
        <v>5</v>
      </c>
      <c r="F331"/>
      <c r="G331">
        <v>60</v>
      </c>
    </row>
    <row r="332" spans="1:7" x14ac:dyDescent="0.25">
      <c r="A332">
        <v>418</v>
      </c>
      <c r="B332" t="s">
        <v>512</v>
      </c>
      <c r="C332" t="s">
        <v>322</v>
      </c>
      <c r="D332"/>
      <c r="E332"/>
      <c r="F332"/>
      <c r="G332"/>
    </row>
    <row r="333" spans="1:7" x14ac:dyDescent="0.25">
      <c r="A333">
        <v>475</v>
      </c>
      <c r="B333" t="s">
        <v>513</v>
      </c>
      <c r="C333" t="s">
        <v>322</v>
      </c>
      <c r="D333"/>
      <c r="E333"/>
      <c r="F333"/>
      <c r="G333"/>
    </row>
    <row r="334" spans="1:7" x14ac:dyDescent="0.25">
      <c r="A334">
        <v>422</v>
      </c>
      <c r="B334" t="s">
        <v>514</v>
      </c>
      <c r="C334" t="s">
        <v>322</v>
      </c>
      <c r="D334"/>
      <c r="E334"/>
      <c r="F334"/>
      <c r="G334"/>
    </row>
    <row r="335" spans="1:7" x14ac:dyDescent="0.25">
      <c r="A335">
        <v>426</v>
      </c>
      <c r="B335" t="s">
        <v>515</v>
      </c>
      <c r="C335" t="s">
        <v>322</v>
      </c>
      <c r="D335"/>
      <c r="E335"/>
      <c r="F335"/>
      <c r="G335"/>
    </row>
    <row r="336" spans="1:7" x14ac:dyDescent="0.25">
      <c r="A336" t="s">
        <v>478</v>
      </c>
      <c r="B336" t="s">
        <v>479</v>
      </c>
      <c r="C336" t="s">
        <v>322</v>
      </c>
      <c r="D336"/>
      <c r="E336"/>
      <c r="F336"/>
      <c r="G336"/>
    </row>
    <row r="337" spans="1:7" x14ac:dyDescent="0.25">
      <c r="A337">
        <v>430</v>
      </c>
      <c r="B337" t="s">
        <v>516</v>
      </c>
      <c r="C337" t="s">
        <v>322</v>
      </c>
      <c r="D337"/>
      <c r="E337"/>
      <c r="F337"/>
      <c r="G337"/>
    </row>
    <row r="338" spans="1:7" x14ac:dyDescent="0.25">
      <c r="A338" t="s">
        <v>478</v>
      </c>
      <c r="B338" t="s">
        <v>479</v>
      </c>
      <c r="C338" t="s">
        <v>322</v>
      </c>
      <c r="D338"/>
      <c r="E338"/>
      <c r="F338"/>
      <c r="G338"/>
    </row>
    <row r="339" spans="1:7" x14ac:dyDescent="0.25">
      <c r="A339">
        <v>1666</v>
      </c>
      <c r="B339" t="s">
        <v>497</v>
      </c>
      <c r="C339" t="s">
        <v>322</v>
      </c>
      <c r="D339"/>
      <c r="E339"/>
      <c r="F339"/>
      <c r="G339"/>
    </row>
    <row r="340" spans="1:7" x14ac:dyDescent="0.25">
      <c r="A340">
        <v>1667</v>
      </c>
      <c r="B340" t="s">
        <v>498</v>
      </c>
      <c r="C340" t="s">
        <v>322</v>
      </c>
      <c r="D340"/>
      <c r="E340"/>
      <c r="F340"/>
      <c r="G340"/>
    </row>
    <row r="341" spans="1:7" x14ac:dyDescent="0.25">
      <c r="A341">
        <v>1668</v>
      </c>
      <c r="B341" t="s">
        <v>499</v>
      </c>
      <c r="C341" t="s">
        <v>322</v>
      </c>
      <c r="D341"/>
      <c r="E341"/>
      <c r="F341"/>
      <c r="G341"/>
    </row>
    <row r="342" spans="1:7" x14ac:dyDescent="0.25">
      <c r="A342">
        <v>1669</v>
      </c>
      <c r="B342" t="s">
        <v>500</v>
      </c>
      <c r="C342" t="s">
        <v>322</v>
      </c>
      <c r="D342"/>
      <c r="E342"/>
      <c r="F342"/>
      <c r="G342"/>
    </row>
    <row r="343" spans="1:7" x14ac:dyDescent="0.25">
      <c r="A343" t="s">
        <v>478</v>
      </c>
      <c r="B343" t="s">
        <v>479</v>
      </c>
      <c r="C343" t="s">
        <v>322</v>
      </c>
      <c r="D343"/>
      <c r="E343"/>
      <c r="F343"/>
      <c r="G343"/>
    </row>
    <row r="344" spans="1:7" x14ac:dyDescent="0.25">
      <c r="A344">
        <v>1670</v>
      </c>
      <c r="B344" t="s">
        <v>501</v>
      </c>
      <c r="C344" t="s">
        <v>322</v>
      </c>
      <c r="D344"/>
      <c r="E344"/>
      <c r="F344"/>
      <c r="G344"/>
    </row>
    <row r="345" spans="1:7" x14ac:dyDescent="0.25">
      <c r="A345" t="s">
        <v>478</v>
      </c>
      <c r="B345" t="s">
        <v>479</v>
      </c>
      <c r="C345" t="s">
        <v>322</v>
      </c>
      <c r="D345"/>
      <c r="E345"/>
      <c r="F345"/>
      <c r="G345"/>
    </row>
    <row r="346" spans="1:7" x14ac:dyDescent="0.25">
      <c r="A346">
        <v>1671</v>
      </c>
      <c r="B346" t="s">
        <v>502</v>
      </c>
      <c r="C346" t="s">
        <v>322</v>
      </c>
      <c r="D346"/>
      <c r="E346"/>
      <c r="F346"/>
      <c r="G346"/>
    </row>
    <row r="347" spans="1:7" x14ac:dyDescent="0.25">
      <c r="A347">
        <v>1672</v>
      </c>
      <c r="B347" t="s">
        <v>503</v>
      </c>
      <c r="C347" t="s">
        <v>322</v>
      </c>
      <c r="D347"/>
      <c r="E347"/>
      <c r="F347"/>
      <c r="G347"/>
    </row>
    <row r="348" spans="1:7" x14ac:dyDescent="0.25">
      <c r="A348">
        <v>1673</v>
      </c>
      <c r="B348" t="s">
        <v>504</v>
      </c>
      <c r="C348" t="s">
        <v>322</v>
      </c>
      <c r="D348"/>
      <c r="E348"/>
      <c r="F348"/>
      <c r="G348"/>
    </row>
    <row r="349" spans="1:7" x14ac:dyDescent="0.25">
      <c r="A349">
        <v>1674</v>
      </c>
      <c r="B349" t="s">
        <v>505</v>
      </c>
      <c r="C349" t="s">
        <v>322</v>
      </c>
      <c r="D349"/>
      <c r="E349"/>
      <c r="F349"/>
      <c r="G349"/>
    </row>
    <row r="350" spans="1:7" x14ac:dyDescent="0.25">
      <c r="A350" t="s">
        <v>478</v>
      </c>
      <c r="B350" t="s">
        <v>479</v>
      </c>
      <c r="C350" t="s">
        <v>322</v>
      </c>
      <c r="D350"/>
      <c r="E350"/>
      <c r="F350"/>
      <c r="G350"/>
    </row>
    <row r="351" spans="1:7" x14ac:dyDescent="0.25">
      <c r="A351">
        <v>1675</v>
      </c>
      <c r="B351" t="s">
        <v>506</v>
      </c>
      <c r="C351" t="s">
        <v>322</v>
      </c>
      <c r="D351"/>
      <c r="E351"/>
      <c r="F351"/>
      <c r="G351"/>
    </row>
    <row r="352" spans="1:7" x14ac:dyDescent="0.25">
      <c r="A352" t="s">
        <v>478</v>
      </c>
      <c r="B352" t="s">
        <v>479</v>
      </c>
      <c r="C352" t="s">
        <v>322</v>
      </c>
      <c r="D352"/>
      <c r="E352"/>
      <c r="F352"/>
      <c r="G352"/>
    </row>
    <row r="353" spans="1:7" x14ac:dyDescent="0.25">
      <c r="A353">
        <v>1676</v>
      </c>
      <c r="B353" t="s">
        <v>507</v>
      </c>
      <c r="C353" t="s">
        <v>322</v>
      </c>
      <c r="D353"/>
      <c r="E353"/>
      <c r="F353"/>
      <c r="G353"/>
    </row>
    <row r="354" spans="1:7" x14ac:dyDescent="0.25">
      <c r="A354">
        <v>1677</v>
      </c>
      <c r="B354" t="s">
        <v>508</v>
      </c>
      <c r="C354" t="s">
        <v>322</v>
      </c>
      <c r="D354"/>
      <c r="E354"/>
      <c r="F354"/>
      <c r="G354"/>
    </row>
    <row r="355" spans="1:7" x14ac:dyDescent="0.25">
      <c r="A355">
        <v>1678</v>
      </c>
      <c r="B355" t="s">
        <v>509</v>
      </c>
      <c r="C355" t="s">
        <v>322</v>
      </c>
      <c r="D355"/>
      <c r="E355"/>
      <c r="F355"/>
      <c r="G355"/>
    </row>
    <row r="356" spans="1:7" x14ac:dyDescent="0.25">
      <c r="A356">
        <v>1679</v>
      </c>
      <c r="B356" t="s">
        <v>510</v>
      </c>
      <c r="C356" t="s">
        <v>322</v>
      </c>
      <c r="D356"/>
      <c r="E356"/>
      <c r="F356"/>
      <c r="G356"/>
    </row>
    <row r="357" spans="1:7" x14ac:dyDescent="0.25">
      <c r="A357" t="s">
        <v>478</v>
      </c>
      <c r="B357" t="s">
        <v>479</v>
      </c>
      <c r="C357" t="s">
        <v>322</v>
      </c>
      <c r="D357"/>
      <c r="E357"/>
      <c r="F357"/>
      <c r="G357"/>
    </row>
    <row r="358" spans="1:7" x14ac:dyDescent="0.25">
      <c r="A358">
        <v>1680</v>
      </c>
      <c r="B358" t="s">
        <v>511</v>
      </c>
      <c r="C358" t="s">
        <v>322</v>
      </c>
      <c r="D358"/>
      <c r="E358"/>
      <c r="F358"/>
      <c r="G358"/>
    </row>
    <row r="359" spans="1:7" x14ac:dyDescent="0.25">
      <c r="A359" t="s">
        <v>478</v>
      </c>
      <c r="B359" t="s">
        <v>479</v>
      </c>
      <c r="C359" t="s">
        <v>322</v>
      </c>
      <c r="D359"/>
      <c r="E359"/>
      <c r="F359"/>
      <c r="G359"/>
    </row>
    <row r="360" spans="1:7" x14ac:dyDescent="0.25">
      <c r="A360">
        <v>1681</v>
      </c>
      <c r="B360" t="s">
        <v>512</v>
      </c>
      <c r="C360" t="s">
        <v>322</v>
      </c>
      <c r="D360"/>
      <c r="E360"/>
      <c r="F360"/>
      <c r="G360"/>
    </row>
    <row r="361" spans="1:7" x14ac:dyDescent="0.25">
      <c r="A361">
        <v>1682</v>
      </c>
      <c r="B361" t="s">
        <v>513</v>
      </c>
      <c r="C361" t="s">
        <v>322</v>
      </c>
      <c r="D361"/>
      <c r="E361"/>
      <c r="F361"/>
      <c r="G361"/>
    </row>
    <row r="362" spans="1:7" x14ac:dyDescent="0.25">
      <c r="A362">
        <v>1683</v>
      </c>
      <c r="B362" t="s">
        <v>514</v>
      </c>
      <c r="C362" t="s">
        <v>322</v>
      </c>
      <c r="D362"/>
      <c r="E362"/>
      <c r="F362"/>
      <c r="G362"/>
    </row>
    <row r="363" spans="1:7" x14ac:dyDescent="0.25">
      <c r="A363">
        <v>1684</v>
      </c>
      <c r="B363" t="s">
        <v>515</v>
      </c>
      <c r="C363" t="s">
        <v>322</v>
      </c>
      <c r="D363"/>
      <c r="E363"/>
      <c r="F363"/>
      <c r="G363"/>
    </row>
    <row r="364" spans="1:7" x14ac:dyDescent="0.25">
      <c r="A364" t="s">
        <v>478</v>
      </c>
      <c r="B364" t="s">
        <v>479</v>
      </c>
      <c r="C364" t="s">
        <v>322</v>
      </c>
      <c r="D364"/>
      <c r="E364"/>
      <c r="F364"/>
      <c r="G364"/>
    </row>
    <row r="365" spans="1:7" x14ac:dyDescent="0.25">
      <c r="A365">
        <v>1685</v>
      </c>
      <c r="B365" t="s">
        <v>516</v>
      </c>
      <c r="C365" t="s">
        <v>322</v>
      </c>
      <c r="D365"/>
      <c r="E365"/>
      <c r="F365"/>
      <c r="G365"/>
    </row>
    <row r="366" spans="1:7" x14ac:dyDescent="0.25">
      <c r="A366">
        <v>4</v>
      </c>
      <c r="B366" t="s">
        <v>517</v>
      </c>
      <c r="C366" t="s">
        <v>322</v>
      </c>
      <c r="D366"/>
      <c r="E366"/>
      <c r="F366">
        <v>1000</v>
      </c>
      <c r="G366"/>
    </row>
    <row r="367" spans="1:7" x14ac:dyDescent="0.25">
      <c r="A367">
        <v>731</v>
      </c>
      <c r="B367" t="s">
        <v>518</v>
      </c>
      <c r="C367" t="s">
        <v>322</v>
      </c>
      <c r="D367"/>
      <c r="E367"/>
      <c r="F367">
        <v>1000</v>
      </c>
      <c r="G367"/>
    </row>
    <row r="368" spans="1:7" x14ac:dyDescent="0.25">
      <c r="A368">
        <v>730</v>
      </c>
      <c r="B368" t="s">
        <v>519</v>
      </c>
      <c r="C368" t="s">
        <v>322</v>
      </c>
      <c r="D368"/>
      <c r="E368"/>
      <c r="F368">
        <v>1000</v>
      </c>
      <c r="G368"/>
    </row>
    <row r="369" spans="1:7" x14ac:dyDescent="0.25">
      <c r="A369">
        <v>37</v>
      </c>
      <c r="B369" t="s">
        <v>520</v>
      </c>
      <c r="C369">
        <v>130</v>
      </c>
      <c r="D369"/>
      <c r="E369"/>
      <c r="F369"/>
      <c r="G369"/>
    </row>
    <row r="370" spans="1:7" x14ac:dyDescent="0.25">
      <c r="A370">
        <v>62</v>
      </c>
      <c r="B370" t="s">
        <v>521</v>
      </c>
      <c r="C370">
        <v>240</v>
      </c>
      <c r="D370"/>
      <c r="E370"/>
      <c r="F370"/>
      <c r="G370"/>
    </row>
    <row r="371" spans="1:7" x14ac:dyDescent="0.25">
      <c r="A371">
        <v>1924</v>
      </c>
      <c r="B371" t="s">
        <v>207</v>
      </c>
      <c r="C371" t="s">
        <v>522</v>
      </c>
      <c r="D371"/>
      <c r="E371"/>
      <c r="F371"/>
      <c r="G371"/>
    </row>
    <row r="372" spans="1:7" x14ac:dyDescent="0.25">
      <c r="A372">
        <v>1950</v>
      </c>
      <c r="B372" t="s">
        <v>207</v>
      </c>
      <c r="C372" t="s">
        <v>523</v>
      </c>
      <c r="D372"/>
      <c r="E372"/>
      <c r="F372"/>
      <c r="G372"/>
    </row>
    <row r="373" spans="1:7" x14ac:dyDescent="0.25">
      <c r="A373">
        <v>1797</v>
      </c>
      <c r="B373" t="s">
        <v>443</v>
      </c>
      <c r="C373">
        <v>0</v>
      </c>
      <c r="D373"/>
      <c r="E373"/>
      <c r="F373">
        <v>12</v>
      </c>
      <c r="G373"/>
    </row>
    <row r="374" spans="1:7" x14ac:dyDescent="0.25">
      <c r="A374">
        <v>2010</v>
      </c>
      <c r="B374" t="s">
        <v>228</v>
      </c>
      <c r="C374">
        <v>320</v>
      </c>
      <c r="D374"/>
      <c r="E374"/>
      <c r="F374"/>
      <c r="G374"/>
    </row>
    <row r="375" spans="1:7" x14ac:dyDescent="0.25">
      <c r="A375">
        <v>495</v>
      </c>
      <c r="B375" t="s">
        <v>441</v>
      </c>
      <c r="C375">
        <v>0</v>
      </c>
      <c r="D375"/>
      <c r="E375"/>
      <c r="F375"/>
      <c r="G375"/>
    </row>
    <row r="376" spans="1:7" x14ac:dyDescent="0.25">
      <c r="A376">
        <v>1822</v>
      </c>
      <c r="B376" t="s">
        <v>207</v>
      </c>
      <c r="C376">
        <v>380</v>
      </c>
      <c r="D376"/>
      <c r="E376"/>
      <c r="F376">
        <v>20</v>
      </c>
      <c r="G376"/>
    </row>
    <row r="377" spans="1:7" x14ac:dyDescent="0.25">
      <c r="A377">
        <v>2011</v>
      </c>
      <c r="B377" t="s">
        <v>228</v>
      </c>
      <c r="C377">
        <v>900</v>
      </c>
      <c r="D377"/>
      <c r="E377"/>
      <c r="F377"/>
      <c r="G377"/>
    </row>
    <row r="378" spans="1:7" x14ac:dyDescent="0.25">
      <c r="A378">
        <v>2019</v>
      </c>
      <c r="B378" t="s">
        <v>442</v>
      </c>
      <c r="C378">
        <v>350</v>
      </c>
      <c r="D378"/>
      <c r="E378"/>
      <c r="F378"/>
      <c r="G378"/>
    </row>
    <row r="379" spans="1:7" x14ac:dyDescent="0.25">
      <c r="A379">
        <v>1819</v>
      </c>
      <c r="B379" t="s">
        <v>524</v>
      </c>
      <c r="C379">
        <v>210</v>
      </c>
      <c r="D379"/>
      <c r="E379"/>
      <c r="F379">
        <v>36</v>
      </c>
      <c r="G379"/>
    </row>
    <row r="380" spans="1:7" x14ac:dyDescent="0.25">
      <c r="A380">
        <v>112</v>
      </c>
      <c r="B380" t="s">
        <v>228</v>
      </c>
      <c r="C380">
        <v>210</v>
      </c>
      <c r="D380"/>
      <c r="E380"/>
      <c r="F380"/>
      <c r="G380"/>
    </row>
    <row r="381" spans="1:7" x14ac:dyDescent="0.25">
      <c r="A381">
        <v>2073</v>
      </c>
      <c r="B381" t="s">
        <v>176</v>
      </c>
      <c r="C381">
        <v>8</v>
      </c>
      <c r="D381"/>
      <c r="E381"/>
      <c r="F381"/>
      <c r="G381"/>
    </row>
    <row r="382" spans="1:7" x14ac:dyDescent="0.25">
      <c r="A382">
        <v>2070</v>
      </c>
      <c r="B382" t="s">
        <v>187</v>
      </c>
      <c r="C382">
        <v>210</v>
      </c>
      <c r="D382"/>
      <c r="E382"/>
      <c r="F382"/>
      <c r="G382"/>
    </row>
    <row r="383" spans="1:7" x14ac:dyDescent="0.25">
      <c r="A383">
        <v>1962</v>
      </c>
      <c r="B383" t="s">
        <v>228</v>
      </c>
      <c r="C383">
        <v>210</v>
      </c>
      <c r="D383"/>
      <c r="E383"/>
      <c r="F383"/>
      <c r="G383"/>
    </row>
    <row r="384" spans="1:7" x14ac:dyDescent="0.25">
      <c r="A384">
        <v>2090</v>
      </c>
      <c r="B384" t="s">
        <v>265</v>
      </c>
      <c r="C384">
        <v>240</v>
      </c>
      <c r="D384"/>
      <c r="E384"/>
      <c r="F384"/>
      <c r="G384"/>
    </row>
    <row r="385" spans="1:7" x14ac:dyDescent="0.25">
      <c r="A385">
        <v>2091</v>
      </c>
      <c r="B385" t="s">
        <v>525</v>
      </c>
      <c r="C385">
        <v>270</v>
      </c>
      <c r="D385"/>
      <c r="E385"/>
      <c r="F385"/>
      <c r="G385"/>
    </row>
    <row r="386" spans="1:7" x14ac:dyDescent="0.25">
      <c r="A386">
        <v>1959</v>
      </c>
      <c r="B386" t="s">
        <v>304</v>
      </c>
      <c r="C386">
        <v>435</v>
      </c>
      <c r="D386"/>
      <c r="E386"/>
      <c r="F386"/>
      <c r="G386"/>
    </row>
    <row r="387" spans="1:7" x14ac:dyDescent="0.25">
      <c r="A387">
        <v>2147</v>
      </c>
      <c r="B387" t="s">
        <v>207</v>
      </c>
      <c r="C387">
        <v>200</v>
      </c>
      <c r="D387"/>
      <c r="E387"/>
      <c r="F387"/>
      <c r="G387"/>
    </row>
    <row r="388" spans="1:7" x14ac:dyDescent="0.25">
      <c r="A388">
        <v>2115</v>
      </c>
      <c r="B388" t="s">
        <v>228</v>
      </c>
      <c r="C388">
        <v>270</v>
      </c>
      <c r="D388"/>
      <c r="E388"/>
      <c r="F388"/>
      <c r="G388"/>
    </row>
    <row r="389" spans="1:7" x14ac:dyDescent="0.25">
      <c r="A389">
        <v>2127</v>
      </c>
      <c r="B389" t="s">
        <v>265</v>
      </c>
      <c r="C389">
        <v>100</v>
      </c>
      <c r="D389"/>
      <c r="E389"/>
      <c r="F389"/>
      <c r="G389"/>
    </row>
    <row r="390" spans="1:7" x14ac:dyDescent="0.25">
      <c r="A390">
        <v>2128</v>
      </c>
      <c r="B390" t="s">
        <v>301</v>
      </c>
      <c r="C390">
        <v>130</v>
      </c>
      <c r="D390"/>
      <c r="E390"/>
      <c r="F390"/>
      <c r="G390"/>
    </row>
    <row r="391" spans="1:7" x14ac:dyDescent="0.25">
      <c r="A391">
        <v>2129</v>
      </c>
      <c r="B391" t="s">
        <v>526</v>
      </c>
      <c r="C391">
        <v>150</v>
      </c>
      <c r="D391"/>
      <c r="E391"/>
      <c r="F391"/>
      <c r="G391"/>
    </row>
    <row r="392" spans="1:7" x14ac:dyDescent="0.25">
      <c r="A392">
        <v>1973</v>
      </c>
      <c r="B392" t="s">
        <v>527</v>
      </c>
      <c r="C392">
        <v>0</v>
      </c>
      <c r="D392"/>
      <c r="E392"/>
      <c r="F392"/>
      <c r="G392"/>
    </row>
    <row r="393" spans="1:7" x14ac:dyDescent="0.25">
      <c r="A393">
        <v>2183</v>
      </c>
      <c r="B393" t="s">
        <v>528</v>
      </c>
      <c r="C393">
        <v>0</v>
      </c>
      <c r="D393"/>
      <c r="E393"/>
      <c r="F393"/>
      <c r="G393"/>
    </row>
    <row r="394" spans="1:7" x14ac:dyDescent="0.25">
      <c r="A394">
        <v>2184</v>
      </c>
      <c r="B394" t="s">
        <v>529</v>
      </c>
      <c r="C394">
        <v>210</v>
      </c>
      <c r="D394"/>
      <c r="E394"/>
      <c r="F394"/>
      <c r="G394"/>
    </row>
    <row r="395" spans="1:7" x14ac:dyDescent="0.25">
      <c r="A395">
        <v>1957</v>
      </c>
      <c r="B395" t="s">
        <v>267</v>
      </c>
      <c r="C395">
        <v>400</v>
      </c>
      <c r="D395"/>
      <c r="E395"/>
      <c r="F395"/>
      <c r="G395"/>
    </row>
    <row r="396" spans="1:7" x14ac:dyDescent="0.25">
      <c r="A396">
        <v>2185</v>
      </c>
      <c r="B396" t="s">
        <v>280</v>
      </c>
      <c r="C396">
        <v>240</v>
      </c>
      <c r="D396"/>
      <c r="E396"/>
      <c r="F396"/>
      <c r="G396"/>
    </row>
    <row r="397" spans="1:7" x14ac:dyDescent="0.25">
      <c r="A397">
        <v>2186</v>
      </c>
      <c r="B397" t="s">
        <v>301</v>
      </c>
      <c r="C397">
        <v>270</v>
      </c>
      <c r="D397"/>
      <c r="E397"/>
      <c r="F397"/>
      <c r="G397"/>
    </row>
    <row r="398" spans="1:7" x14ac:dyDescent="0.25">
      <c r="A398">
        <v>116</v>
      </c>
      <c r="B398" t="s">
        <v>228</v>
      </c>
      <c r="C398">
        <v>250</v>
      </c>
      <c r="D398"/>
      <c r="E398"/>
      <c r="F398"/>
      <c r="G398"/>
    </row>
    <row r="399" spans="1:7" x14ac:dyDescent="0.25">
      <c r="A399">
        <v>2063</v>
      </c>
      <c r="B399" t="s">
        <v>304</v>
      </c>
      <c r="C399">
        <v>450</v>
      </c>
      <c r="D399"/>
      <c r="E399"/>
      <c r="F399"/>
      <c r="G399"/>
    </row>
    <row r="400" spans="1:7" x14ac:dyDescent="0.25">
      <c r="A400">
        <v>2204</v>
      </c>
      <c r="B400" t="s">
        <v>207</v>
      </c>
      <c r="C400">
        <v>800</v>
      </c>
      <c r="D400"/>
      <c r="E400"/>
      <c r="F400"/>
      <c r="G40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1A8D0-9535-42EE-8CBB-2B0ABC5D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CONCILIADA</vt:lpstr>
      <vt:lpstr>Tabela de preços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2025-10-29T13:27:29Z</dcterms:created>
  <dcterms:modified xsi:type="dcterms:W3CDTF">2026-09-01T12:59:43Z</dcterms:modified>
</cp:coreProperties>
</file>