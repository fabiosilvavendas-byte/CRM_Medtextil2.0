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8CC66A33-4CD7-4298-8955-862545762BEE}" xr6:coauthVersionLast="47" xr6:coauthVersionMax="47" xr10:uidLastSave="{00000000-0000-0000-0000-000000000000}"/>
  <bookViews>
    <workbookView xWindow="-120" yWindow="-120" windowWidth="29040" windowHeight="15840" activeTab="2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70" i="3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<sst xmlns="http://schemas.openxmlformats.org/spreadsheetml/2006/main" count="3081" uniqueCount="649">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</sst>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</cellXfs>
  <cellStyles count="2">
    <cellStyle name="Moeda" xfId="1" builtinId="4"/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74" tableType="queryTable" totalsRowShown="0">
  <autoFilter ref="A1:H374" xr:uid="{5499586E-A189-44D8-9C58-8F69F4EC7CA4}">
    <filterColumn colId="5">
      <filters>
        <filter val="0"/>
        <filter val="#N/D"/>
      </filters>
    </filterColumn>
  </autoFilter>
  <tableColumns count="8">
    <tableColumn id="2" xr3:uid="{3202AFED-4A11-4AD5-8FCF-B57F6545F53A}" uniqueName="2" name="ID_COD" queryTableFieldId="2" dataDxfId="15"/>
    <tableColumn id="1" xr3:uid="{5387F357-AA02-4B91-B30F-AB45B122F19D}" uniqueName="1" name="Grupo" queryTableFieldId="1" dataDxfId="14"/>
    <tableColumn id="3" xr3:uid="{AF8B37DC-8D9E-415B-8540-844DCFD3C2C2}" uniqueName="3" name="Descrição" queryTableFieldId="3" dataDxfId="13"/>
    <tableColumn id="4" xr3:uid="{15BCD1FE-6E96-4337-BF2C-1D0977BEE2EA}" uniqueName="4" name="Linha" queryTableFieldId="4" dataDxfId="12"/>
    <tableColumn id="5" xr3:uid="{5AEAA593-AC57-42D0-80C6-A7ADC3170E25}" uniqueName="5" name="Gramatura" queryTableFieldId="5" dataDxfId="11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74"/>
  <sheetViews>
    <sheetView workbookViewId="0">
      <pane ySplit="1" topLeftCell="A164" activePane="bottomLeft" state="frozen"/>
      <selection pane="bottomLeft" activeCell="F164" sqref="F164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hidden="1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v>0.38</v>
      </c>
    </row>
    <row r="3" spans="1:8" hidden="1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v>0.4</v>
      </c>
    </row>
    <row r="4" spans="1:8" hidden="1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v>0.42</v>
      </c>
    </row>
    <row r="5" spans="1:8" hidden="1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v>0.44</v>
      </c>
    </row>
    <row r="6" spans="1:8" hidden="1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v>0.47</v>
      </c>
    </row>
    <row r="7" spans="1:8" hidden="1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v>0.49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1000</v>
      </c>
      <c r="G8" t="s">
        <v>253</v>
      </c>
      <c r="H8" s="2">
        <v>0.6</v>
      </c>
    </row>
    <row r="9" spans="1:8" hidden="1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v>0.62</v>
      </c>
    </row>
    <row r="10" spans="1:8" hidden="1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v>0.65</v>
      </c>
    </row>
    <row r="11" spans="1:8" hidden="1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v>2.8</v>
      </c>
    </row>
    <row r="12" spans="1:8" hidden="1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v>5.18</v>
      </c>
    </row>
    <row r="13" spans="1:8" hidden="1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hidden="1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>
        <v>2.8</v>
      </c>
    </row>
    <row r="15" spans="1:8" hidden="1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v>6.98</v>
      </c>
    </row>
    <row r="16" spans="1:8" hidden="1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v>4.28</v>
      </c>
    </row>
    <row r="18" spans="1:8" hidden="1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hidden="1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hidden="1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hidden="1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hidden="1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hidden="1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hidden="1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hidden="1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hidden="1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hidden="1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hidden="1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40</v>
      </c>
      <c r="G47" t="s">
        <v>267</v>
      </c>
      <c r="H47" s="2">
        <v>29.207619047619044</v>
      </c>
    </row>
    <row r="48" spans="1:8" hidden="1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hidden="1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hidden="1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hidden="1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hidden="1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hidden="1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32</v>
      </c>
      <c r="G62" t="s">
        <v>108</v>
      </c>
      <c r="H62" s="2">
        <v>18.73076923076923</v>
      </c>
    </row>
    <row r="63" spans="1:8" hidden="1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hidden="1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32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32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32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32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32</v>
      </c>
      <c r="G75" t="s">
        <v>280</v>
      </c>
      <c r="H75" s="2">
        <v>29.96875</v>
      </c>
    </row>
    <row r="76" spans="1:8" hidden="1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hidden="1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hidden="1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hidden="1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hidden="1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hidden="1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hidden="1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hidden="1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hidden="1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40</v>
      </c>
      <c r="G87" t="s">
        <v>319</v>
      </c>
      <c r="H87" s="2">
        <v>16.59</v>
      </c>
    </row>
    <row r="88" spans="1:8" hidden="1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hidden="1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hidden="1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hidden="1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1000</v>
      </c>
      <c r="G93" t="s">
        <v>301</v>
      </c>
      <c r="H93" s="2">
        <v>13.525185185185185</v>
      </c>
    </row>
    <row r="94" spans="1:8" hidden="1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hidden="1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32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hidden="1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hidden="1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hidden="1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hidden="1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hidden="1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hidden="1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30</v>
      </c>
      <c r="G117" t="s">
        <v>195</v>
      </c>
      <c r="H117" s="2">
        <v>16.910476190476189</v>
      </c>
    </row>
    <row r="118" spans="1:8" hidden="1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hidden="1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30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30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30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25</v>
      </c>
      <c r="G123" t="s">
        <v>202</v>
      </c>
      <c r="H123" s="2">
        <v>21.321904761904758</v>
      </c>
    </row>
    <row r="124" spans="1:8" hidden="1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25</v>
      </c>
      <c r="G125" t="s">
        <v>204</v>
      </c>
      <c r="H125" s="2">
        <v>22.792380952380952</v>
      </c>
    </row>
    <row r="126" spans="1:8" hidden="1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30</v>
      </c>
      <c r="G127" t="s">
        <v>206</v>
      </c>
      <c r="H127" s="2">
        <v>24.262857142857143</v>
      </c>
    </row>
    <row r="128" spans="1:8" hidden="1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hidden="1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20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20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20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hidden="1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20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hidden="1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30</v>
      </c>
      <c r="G141" t="s">
        <v>207</v>
      </c>
      <c r="H141" s="2">
        <v>16.596799999999998</v>
      </c>
    </row>
    <row r="142" spans="1:8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30</v>
      </c>
      <c r="G142" t="s">
        <v>209</v>
      </c>
      <c r="H142" s="2">
        <v>17.351200000000002</v>
      </c>
    </row>
    <row r="143" spans="1:8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30</v>
      </c>
      <c r="G143" t="s">
        <v>207</v>
      </c>
      <c r="H143" s="2">
        <v>18.105599999999999</v>
      </c>
    </row>
    <row r="144" spans="1:8" hidden="1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hidden="1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30</v>
      </c>
      <c r="G146" t="s">
        <v>218</v>
      </c>
      <c r="H146" s="2">
        <v>20.3688</v>
      </c>
    </row>
    <row r="147" spans="1:8" hidden="1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25</v>
      </c>
      <c r="G148" t="s">
        <v>219</v>
      </c>
      <c r="H148" s="2">
        <v>21.877599999999997</v>
      </c>
    </row>
    <row r="149" spans="1:8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25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30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0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0</v>
      </c>
      <c r="G160" t="s">
        <v>217</v>
      </c>
      <c r="H160" s="2">
        <v>31.384736842105259</v>
      </c>
    </row>
    <row r="161" spans="1:8" hidden="1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hidden="1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20</v>
      </c>
      <c r="G163" t="s">
        <v>207</v>
      </c>
      <c r="H163" s="2" t="e">
        <v>#N/A</v>
      </c>
    </row>
    <row r="164" spans="1:8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20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hidden="1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hidden="1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36</v>
      </c>
      <c r="G168" t="s">
        <v>228</v>
      </c>
      <c r="H168" s="2">
        <v>17.38</v>
      </c>
    </row>
    <row r="169" spans="1:8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30</v>
      </c>
      <c r="G169" t="s">
        <v>228</v>
      </c>
      <c r="H169" s="2">
        <v>18.170000000000002</v>
      </c>
    </row>
    <row r="170" spans="1:8" hidden="1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hidden="1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30</v>
      </c>
      <c r="G172" t="s">
        <v>238</v>
      </c>
      <c r="H172" s="2">
        <v>20.54</v>
      </c>
    </row>
    <row r="173" spans="1:8" hidden="1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hidden="1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25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0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hidden="1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hidden="1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36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 t="e">
        <f>VLOOKUP(Tabela14[[#This Row],[ID_COD]],Tabela2[],6,0)</f>
        <v>#N/A</v>
      </c>
      <c r="G185" t="s">
        <v>227</v>
      </c>
      <c r="H185" s="2">
        <v>18.478536585365852</v>
      </c>
    </row>
    <row r="186" spans="1:8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20</v>
      </c>
      <c r="G186" t="s">
        <v>230</v>
      </c>
      <c r="H186" s="2">
        <v>30.529756097560973</v>
      </c>
    </row>
    <row r="187" spans="1:8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20</v>
      </c>
      <c r="G187" t="s">
        <v>231</v>
      </c>
      <c r="H187" s="2">
        <v>31.333170731707312</v>
      </c>
    </row>
    <row r="188" spans="1:8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20</v>
      </c>
      <c r="G188" t="s">
        <v>232</v>
      </c>
      <c r="H188" s="2">
        <v>32.136585365853655</v>
      </c>
    </row>
    <row r="189" spans="1:8" hidden="1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hidden="1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20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171</v>
      </c>
      <c r="H197" s="2">
        <v>3.66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111</v>
      </c>
      <c r="H198" s="2">
        <v>3.97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 t="e">
        <f>VLOOKUP(Tabela14[[#This Row],[ID_COD]],Tabela2[],6,0)</f>
        <v>#N/A</v>
      </c>
      <c r="G199" t="s">
        <v>126</v>
      </c>
      <c r="H199" s="2">
        <v>4.91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81</v>
      </c>
      <c r="H200" s="2">
        <v>5.63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 t="e">
        <f>VLOOKUP(Tabela14[[#This Row],[ID_COD]],Tabela2[],6,0)</f>
        <v>#N/A</v>
      </c>
      <c r="G201" t="s">
        <v>88</v>
      </c>
      <c r="H201" s="2">
        <v>7.25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VLOOKUP(Tabela14[[#This Row],[ID_COD]],Tabela2[],6,0)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97</v>
      </c>
      <c r="H203" s="2">
        <v>10.74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VLOOKUP(Tabela14[[#This Row],[ID_COD]],Tabela2[],6,0)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120</v>
      </c>
      <c r="H205" s="2">
        <v>5.38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 t="e">
        <f>VLOOKUP(Tabela14[[#This Row],[ID_COD]],Tabela2[],6,0)</f>
        <v>#N/A</v>
      </c>
      <c r="G206" t="s">
        <v>132</v>
      </c>
      <c r="H206" s="2">
        <v>6.78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84</v>
      </c>
      <c r="H207" s="2">
        <v>7.94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 t="e">
        <f>VLOOKUP(Tabela14[[#This Row],[ID_COD]],Tabela2[],6,0)</f>
        <v>#N/A</v>
      </c>
      <c r="G208" t="s">
        <v>92</v>
      </c>
      <c r="H208" s="2">
        <v>10.3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VLOOKUP(Tabela14[[#This Row],[ID_COD]],Tabela2[],6,0)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 t="e">
        <f>VLOOKUP(Tabela14[[#This Row],[ID_COD]],Tabela2[],6,0)</f>
        <v>#N/A</v>
      </c>
      <c r="G210" t="s">
        <v>102</v>
      </c>
      <c r="H210" s="2">
        <v>14.74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VLOOKUP(Tabela14[[#This Row],[ID_COD]],Tabela2[],6,0)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 t="e">
        <f>VLOOKUP(Tabela14[[#This Row],[ID_COD]],Tabela2[],6,0)</f>
        <v>#N/A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 t="e">
        <f>VLOOKUP(Tabela14[[#This Row],[ID_COD]],Tabela2[],6,0)</f>
        <v>#N/A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VLOOKUP(Tabela14[[#This Row],[ID_COD]],Tabela2[],6,0)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VLOOKUP(Tabela14[[#This Row],[ID_COD]],Tabela2[],6,0)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 t="e">
        <f>VLOOKUP(Tabela14[[#This Row],[ID_COD]],Tabela2[],6,0)</f>
        <v>#N/A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 t="e">
        <f>VLOOKUP(Tabela14[[#This Row],[ID_COD]],Tabela2[],6,0)</f>
        <v>#N/A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VLOOKUP(Tabela14[[#This Row],[ID_COD]],Tabela2[],6,0)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 t="e">
        <f>VLOOKUP(Tabela14[[#This Row],[ID_COD]],Tabela2[],6,0)</f>
        <v>#N/A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VLOOKUP(Tabela14[[#This Row],[ID_COD]],Tabela2[],6,0)</f>
        <v>#N/A</v>
      </c>
      <c r="H225" s="2">
        <v>3.66</v>
      </c>
    </row>
    <row r="226" spans="1:8" hidden="1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VLOOKUP(Tabela14[[#This Row],[ID_COD]],Tabela2[],6,0)</f>
        <v>110</v>
      </c>
      <c r="G226" t="s">
        <v>111</v>
      </c>
      <c r="H226" s="2">
        <v>3.97</v>
      </c>
    </row>
    <row r="227" spans="1:8" hidden="1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VLOOKUP(Tabela14[[#This Row],[ID_COD]],Tabela2[],6,0)</f>
        <v>110</v>
      </c>
      <c r="G227" t="s">
        <v>126</v>
      </c>
      <c r="H227" s="2">
        <v>4.91</v>
      </c>
    </row>
    <row r="228" spans="1:8" hidden="1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VLOOKUP(Tabela14[[#This Row],[ID_COD]],Tabela2[],6,0)</f>
        <v>90</v>
      </c>
      <c r="G228" t="s">
        <v>137</v>
      </c>
      <c r="H228" s="2">
        <v>5.63</v>
      </c>
    </row>
    <row r="229" spans="1:8" hidden="1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VLOOKUP(Tabela14[[#This Row],[ID_COD]],Tabela2[],6,0)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VLOOKUP(Tabela14[[#This Row],[ID_COD]],Tabela2[],6,0)</f>
        <v>#N/A</v>
      </c>
      <c r="H230" s="2" t="e">
        <v>#N/A</v>
      </c>
    </row>
    <row r="231" spans="1:8" hidden="1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VLOOKUP(Tabela14[[#This Row],[ID_COD]],Tabela2[],6,0)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VLOOKUP(Tabela14[[#This Row],[ID_COD]],Tabela2[],6,0)</f>
        <v>#N/A</v>
      </c>
      <c r="H232" s="2" t="e">
        <v>#N/A</v>
      </c>
    </row>
    <row r="233" spans="1:8" hidden="1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VLOOKUP(Tabela14[[#This Row],[ID_COD]],Tabela2[],6,0)</f>
        <v>100</v>
      </c>
      <c r="G233" t="s">
        <v>117</v>
      </c>
      <c r="H233" s="2">
        <v>5.38</v>
      </c>
    </row>
    <row r="234" spans="1:8" hidden="1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VLOOKUP(Tabela14[[#This Row],[ID_COD]],Tabela2[],6,0)</f>
        <v>90</v>
      </c>
      <c r="G234" t="s">
        <v>132</v>
      </c>
      <c r="H234" s="2">
        <v>6.78</v>
      </c>
    </row>
    <row r="235" spans="1:8" hidden="1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VLOOKUP(Tabela14[[#This Row],[ID_COD]],Tabela2[],6,0)</f>
        <v>75</v>
      </c>
      <c r="G235" t="s">
        <v>145</v>
      </c>
      <c r="H235" s="2">
        <v>7.94</v>
      </c>
    </row>
    <row r="236" spans="1:8" hidden="1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VLOOKUP(Tabela14[[#This Row],[ID_COD]],Tabela2[],6,0)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VLOOKUP(Tabela14[[#This Row],[ID_COD]],Tabela2[],6,0)</f>
        <v>#N/A</v>
      </c>
      <c r="H237" s="2" t="e">
        <v>#N/A</v>
      </c>
    </row>
    <row r="238" spans="1:8" hidden="1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VLOOKUP(Tabela14[[#This Row],[ID_COD]],Tabela2[],6,0)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VLOOKUP(Tabela14[[#This Row],[ID_COD]],Tabela2[],6,0)</f>
        <v>#N/A</v>
      </c>
      <c r="H239" s="2">
        <v>4.2699999999999996</v>
      </c>
    </row>
    <row r="240" spans="1:8" hidden="1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VLOOKUP(Tabela14[[#This Row],[ID_COD]],Tabela2[],6,0)</f>
        <v>110</v>
      </c>
      <c r="G240" t="s">
        <v>112</v>
      </c>
      <c r="H240" s="2">
        <v>4.6399999999999997</v>
      </c>
    </row>
    <row r="241" spans="1:8" hidden="1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VLOOKUP(Tabela14[[#This Row],[ID_COD]],Tabela2[],6,0)</f>
        <v>110</v>
      </c>
      <c r="G241" t="s">
        <v>127</v>
      </c>
      <c r="H241" s="2">
        <v>5.74</v>
      </c>
    </row>
    <row r="242" spans="1:8" hidden="1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VLOOKUP(Tabela14[[#This Row],[ID_COD]],Tabela2[],6,0)</f>
        <v>80</v>
      </c>
      <c r="G242" t="s">
        <v>139</v>
      </c>
      <c r="H242" s="2">
        <v>6.57</v>
      </c>
    </row>
    <row r="243" spans="1:8" hidden="1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VLOOKUP(Tabela14[[#This Row],[ID_COD]],Tabela2[],6,0)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VLOOKUP(Tabela14[[#This Row],[ID_COD]],Tabela2[],6,0)</f>
        <v>#N/A</v>
      </c>
      <c r="H244" s="2" t="e">
        <v>#N/A</v>
      </c>
    </row>
    <row r="245" spans="1:8" hidden="1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VLOOKUP(Tabela14[[#This Row],[ID_COD]],Tabela2[],6,0)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VLOOKUP(Tabela14[[#This Row],[ID_COD]],Tabela2[],6,0)</f>
        <v>#N/A</v>
      </c>
      <c r="H246" s="2" t="e">
        <v>#N/A</v>
      </c>
    </row>
    <row r="247" spans="1:8" hidden="1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VLOOKUP(Tabela14[[#This Row],[ID_COD]],Tabela2[],6,0)</f>
        <v>90</v>
      </c>
      <c r="G247" t="s">
        <v>121</v>
      </c>
      <c r="H247" s="2">
        <v>6.41</v>
      </c>
    </row>
    <row r="248" spans="1:8" hidden="1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VLOOKUP(Tabela14[[#This Row],[ID_COD]],Tabela2[],6,0)</f>
        <v>80</v>
      </c>
      <c r="G248" t="s">
        <v>133</v>
      </c>
      <c r="H248" s="2">
        <v>7.92</v>
      </c>
    </row>
    <row r="249" spans="1:8" hidden="1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VLOOKUP(Tabela14[[#This Row],[ID_COD]],Tabela2[],6,0)</f>
        <v>70</v>
      </c>
      <c r="G249" t="s">
        <v>172</v>
      </c>
      <c r="H249" s="2">
        <v>9.3699999999999992</v>
      </c>
    </row>
    <row r="250" spans="1:8" hidden="1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VLOOKUP(Tabela14[[#This Row],[ID_COD]],Tabela2[],6,0)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VLOOKUP(Tabela14[[#This Row],[ID_COD]],Tabela2[],6,0)</f>
        <v>#N/A</v>
      </c>
      <c r="H251" s="2" t="e">
        <v>#N/A</v>
      </c>
    </row>
    <row r="252" spans="1:8" hidden="1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VLOOKUP(Tabela14[[#This Row],[ID_COD]],Tabela2[],6,0)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VLOOKUP(Tabela14[[#This Row],[ID_COD]],Tabela2[],6,0)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 t="e">
        <f>VLOOKUP(Tabela14[[#This Row],[ID_COD]],Tabela2[],6,0)</f>
        <v>#N/A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 t="e">
        <f>VLOOKUP(Tabela14[[#This Row],[ID_COD]],Tabela2[],6,0)</f>
        <v>#N/A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VLOOKUP(Tabela14[[#This Row],[ID_COD]],Tabela2[],6,0)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VLOOKUP(Tabela14[[#This Row],[ID_COD]],Tabela2[],6,0)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 t="e">
        <f>VLOOKUP(Tabela14[[#This Row],[ID_COD]],Tabela2[],6,0)</f>
        <v>#N/A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 t="e">
        <f>VLOOKUP(Tabela14[[#This Row],[ID_COD]],Tabela2[],6,0)</f>
        <v>#N/A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VLOOKUP(Tabela14[[#This Row],[ID_COD]],Tabela2[],6,0)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 t="e">
        <f>VLOOKUP(Tabela14[[#This Row],[ID_COD]],Tabela2[],6,0)</f>
        <v>#N/A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170</v>
      </c>
      <c r="H267" s="2">
        <v>4.2699999999999996</v>
      </c>
    </row>
    <row r="268" spans="1:8" hidden="1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VLOOKUP(Tabela14[[#This Row],[ID_COD]],Tabela2[],6,0)</f>
        <v>110</v>
      </c>
      <c r="G268" t="s">
        <v>69</v>
      </c>
      <c r="H268" s="2">
        <v>4.6399999999999997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 t="e">
        <f>VLOOKUP(Tabela14[[#This Row],[ID_COD]],Tabela2[],6,0)</f>
        <v>#N/A</v>
      </c>
      <c r="G269" t="s">
        <v>73</v>
      </c>
      <c r="H269" s="2">
        <v>5.74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80</v>
      </c>
      <c r="H270" s="2">
        <v>6.57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 t="e">
        <f>VLOOKUP(Tabela14[[#This Row],[ID_COD]],Tabela2[],6,0)</f>
        <v>#N/A</v>
      </c>
      <c r="G271" t="s">
        <v>87</v>
      </c>
      <c r="H271" s="2">
        <v>8.4499999999999993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VLOOKUP(Tabela14[[#This Row],[ID_COD]],Tabela2[],6,0)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96</v>
      </c>
      <c r="H273" s="2">
        <v>12.58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VLOOKUP(Tabela14[[#This Row],[ID_COD]],Tabela2[],6,0)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 t="e">
        <f>VLOOKUP(Tabela14[[#This Row],[ID_COD]],Tabela2[],6,0)</f>
        <v>#N/A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 t="e">
        <f>VLOOKUP(Tabela14[[#This Row],[ID_COD]],Tabela2[],6,0)</f>
        <v>#N/A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VLOOKUP(Tabela14[[#This Row],[ID_COD]],Tabela2[],6,0)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 t="e">
        <f>VLOOKUP(Tabela14[[#This Row],[ID_COD]],Tabela2[],6,0)</f>
        <v>#N/A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VLOOKUP(Tabela14[[#This Row],[ID_COD]],Tabela2[],6,0)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70</v>
      </c>
      <c r="H282" s="2">
        <v>3.85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 t="e">
        <f>VLOOKUP(Tabela14[[#This Row],[ID_COD]],Tabela2[],6,0)</f>
        <v>#N/A</v>
      </c>
      <c r="G283" t="s">
        <v>75</v>
      </c>
      <c r="H283" s="2">
        <v>4.76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140</v>
      </c>
      <c r="H284" s="2">
        <v>5.47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 t="e">
        <f>VLOOKUP(Tabela14[[#This Row],[ID_COD]],Tabela2[],6,0)</f>
        <v>#N/A</v>
      </c>
      <c r="G285" t="s">
        <v>153</v>
      </c>
      <c r="H285" s="2">
        <v>7.03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VLOOKUP(Tabela14[[#This Row],[ID_COD]],Tabela2[],6,0)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99</v>
      </c>
      <c r="H287" s="2">
        <v>10.42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VLOOKUP(Tabela14[[#This Row],[ID_COD]],Tabela2[],6,0)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122</v>
      </c>
      <c r="H289" s="2">
        <v>5.21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 t="e">
        <f>VLOOKUP(Tabela14[[#This Row],[ID_COD]],Tabela2[],6,0)</f>
        <v>#N/A</v>
      </c>
      <c r="G290" t="s">
        <v>79</v>
      </c>
      <c r="H290" s="2">
        <v>6.58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86</v>
      </c>
      <c r="H291" s="2">
        <v>7.7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 t="e">
        <f>VLOOKUP(Tabela14[[#This Row],[ID_COD]],Tabela2[],6,0)</f>
        <v>#N/A</v>
      </c>
      <c r="G292" t="s">
        <v>94</v>
      </c>
      <c r="H292" s="2">
        <v>9.99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VLOOKUP(Tabela14[[#This Row],[ID_COD]],Tabela2[],6,0)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 t="e">
        <f>VLOOKUP(Tabela14[[#This Row],[ID_COD]],Tabela2[],6,0)</f>
        <v>#N/A</v>
      </c>
      <c r="G294" t="s">
        <v>168</v>
      </c>
      <c r="H294" s="2">
        <v>14.3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VLOOKUP(Tabela14[[#This Row],[ID_COD]],Tabela2[],6,0)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 t="e">
        <f>VLOOKUP(Tabela14[[#This Row],[ID_COD]],Tabela2[],6,0)</f>
        <v>#N/A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 t="e">
        <f>VLOOKUP(Tabela14[[#This Row],[ID_COD]],Tabela2[],6,0)</f>
        <v>#N/A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VLOOKUP(Tabela14[[#This Row],[ID_COD]],Tabela2[],6,0)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VLOOKUP(Tabela14[[#This Row],[ID_COD]],Tabela2[],6,0)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 t="e">
        <f>VLOOKUP(Tabela14[[#This Row],[ID_COD]],Tabela2[],6,0)</f>
        <v>#N/A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 t="e">
        <f>VLOOKUP(Tabela14[[#This Row],[ID_COD]],Tabela2[],6,0)</f>
        <v>#N/A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VLOOKUP(Tabela14[[#This Row],[ID_COD]],Tabela2[],6,0)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 t="e">
        <f>VLOOKUP(Tabela14[[#This Row],[ID_COD]],Tabela2[],6,0)</f>
        <v>#N/A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VLOOKUP(Tabela14[[#This Row],[ID_COD]],Tabela2[],6,0)</f>
        <v>#N/A</v>
      </c>
      <c r="H309">
        <v>3.66</v>
      </c>
    </row>
    <row r="310" spans="1:8" hidden="1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VLOOKUP(Tabela14[[#This Row],[ID_COD]],Tabela2[],6,0)</f>
        <v>110</v>
      </c>
      <c r="G310" t="s">
        <v>114</v>
      </c>
      <c r="H310" s="2">
        <v>3.85</v>
      </c>
    </row>
    <row r="311" spans="1:8" hidden="1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VLOOKUP(Tabela14[[#This Row],[ID_COD]],Tabela2[],6,0)</f>
        <v>86</v>
      </c>
      <c r="G311" t="s">
        <v>125</v>
      </c>
      <c r="H311">
        <v>4.91</v>
      </c>
    </row>
    <row r="312" spans="1:8" hidden="1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VLOOKUP(Tabela14[[#This Row],[ID_COD]],Tabela2[],6,0)</f>
        <v>70</v>
      </c>
      <c r="G312" t="s">
        <v>136</v>
      </c>
      <c r="H312" s="2">
        <v>5.47</v>
      </c>
    </row>
    <row r="313" spans="1:8" hidden="1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VLOOKUP(Tabela14[[#This Row],[ID_COD]],Tabela2[],6,0)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VLOOKUP(Tabela14[[#This Row],[ID_COD]],Tabela2[],6,0)</f>
        <v>#N/A</v>
      </c>
      <c r="H314" s="2" t="e">
        <v>#N/A</v>
      </c>
    </row>
    <row r="315" spans="1:8" hidden="1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VLOOKUP(Tabela14[[#This Row],[ID_COD]],Tabela2[],6,0)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VLOOKUP(Tabela14[[#This Row],[ID_COD]],Tabela2[],6,0)</f>
        <v>#N/A</v>
      </c>
      <c r="H316" s="2" t="e">
        <v>#N/A</v>
      </c>
    </row>
    <row r="317" spans="1:8" hidden="1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VLOOKUP(Tabela14[[#This Row],[ID_COD]],Tabela2[],6,0)</f>
        <v>86</v>
      </c>
      <c r="G317" t="s">
        <v>118</v>
      </c>
      <c r="H317" s="2">
        <v>5.38</v>
      </c>
    </row>
    <row r="318" spans="1:8" hidden="1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VLOOKUP(Tabela14[[#This Row],[ID_COD]],Tabela2[],6,0)</f>
        <v>70</v>
      </c>
      <c r="G318" t="s">
        <v>130</v>
      </c>
      <c r="H318" s="2">
        <v>6.78</v>
      </c>
    </row>
    <row r="319" spans="1:8" hidden="1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VLOOKUP(Tabela14[[#This Row],[ID_COD]],Tabela2[],6,0)</f>
        <v>60</v>
      </c>
      <c r="G319" t="s">
        <v>144</v>
      </c>
      <c r="H319" s="2">
        <v>7.94</v>
      </c>
    </row>
    <row r="320" spans="1:8" hidden="1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VLOOKUP(Tabela14[[#This Row],[ID_COD]],Tabela2[],6,0)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VLOOKUP(Tabela14[[#This Row],[ID_COD]],Tabela2[],6,0)</f>
        <v>#N/A</v>
      </c>
      <c r="H321" s="2" t="e">
        <v>#N/A</v>
      </c>
    </row>
    <row r="322" spans="1:8" hidden="1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VLOOKUP(Tabela14[[#This Row],[ID_COD]],Tabela2[],6,0)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VLOOKUP(Tabela14[[#This Row],[ID_COD]],Tabela2[],6,0)</f>
        <v>#N/A</v>
      </c>
      <c r="H323" s="2">
        <v>4.2699999999999996</v>
      </c>
    </row>
    <row r="324" spans="1:8" hidden="1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VLOOKUP(Tabela14[[#This Row],[ID_COD]],Tabela2[],6,0)</f>
        <v>100</v>
      </c>
      <c r="G324" t="s">
        <v>115</v>
      </c>
      <c r="H324" s="2">
        <v>4.6399999999999997</v>
      </c>
    </row>
    <row r="325" spans="1:8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VLOOKUP(Tabela14[[#This Row],[ID_COD]],Tabela2[],6,0)</f>
        <v>85</v>
      </c>
      <c r="G325" t="s">
        <v>128</v>
      </c>
      <c r="H325" s="2">
        <v>5.74</v>
      </c>
    </row>
    <row r="326" spans="1:8" hidden="1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VLOOKUP(Tabela14[[#This Row],[ID_COD]],Tabela2[],6,0)</f>
        <v>66</v>
      </c>
      <c r="G326" t="s">
        <v>142</v>
      </c>
      <c r="H326" s="2">
        <v>6.57</v>
      </c>
    </row>
    <row r="327" spans="1:8" hidden="1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VLOOKUP(Tabela14[[#This Row],[ID_COD]],Tabela2[],6,0)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VLOOKUP(Tabela14[[#This Row],[ID_COD]],Tabela2[],6,0)</f>
        <v>#N/A</v>
      </c>
      <c r="H328" s="2" t="e">
        <v>#N/A</v>
      </c>
    </row>
    <row r="329" spans="1:8" hidden="1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VLOOKUP(Tabela14[[#This Row],[ID_COD]],Tabela2[],6,0)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VLOOKUP(Tabela14[[#This Row],[ID_COD]],Tabela2[],6,0)</f>
        <v>#N/A</v>
      </c>
      <c r="H330" s="2" t="e">
        <v>#N/A</v>
      </c>
    </row>
    <row r="331" spans="1:8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VLOOKUP(Tabela14[[#This Row],[ID_COD]],Tabela2[],6,0)</f>
        <v>90</v>
      </c>
      <c r="G331" t="s">
        <v>119</v>
      </c>
      <c r="H331" s="2">
        <v>6.41</v>
      </c>
    </row>
    <row r="332" spans="1:8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VLOOKUP(Tabela14[[#This Row],[ID_COD]],Tabela2[],6,0)</f>
        <v>80</v>
      </c>
      <c r="G332" t="s">
        <v>131</v>
      </c>
      <c r="H332" s="2">
        <v>7.92</v>
      </c>
    </row>
    <row r="333" spans="1:8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VLOOKUP(Tabela14[[#This Row],[ID_COD]],Tabela2[],6,0)</f>
        <v>70</v>
      </c>
      <c r="G333" t="s">
        <v>146</v>
      </c>
      <c r="H333" s="2">
        <v>9.3699999999999992</v>
      </c>
    </row>
    <row r="334" spans="1:8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VLOOKUP(Tabela14[[#This Row],[ID_COD]],Tabela2[],6,0)</f>
        <v>60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VLOOKUP(Tabela14[[#This Row],[ID_COD]],Tabela2[],6,0)</f>
        <v>#N/A</v>
      </c>
      <c r="H335" s="2" t="e">
        <v>#N/A</v>
      </c>
    </row>
    <row r="336" spans="1:8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VLOOKUP(Tabela14[[#This Row],[ID_COD]],Tabela2[],6,0)</f>
        <v>35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VLOOKUP(Tabela14[[#This Row],[ID_COD]],Tabela2[],6,0)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 t="e">
        <f>VLOOKUP(Tabela14[[#This Row],[ID_COD]],Tabela2[],6,0)</f>
        <v>#N/A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 t="e">
        <f>VLOOKUP(Tabela14[[#This Row],[ID_COD]],Tabela2[],6,0)</f>
        <v>#N/A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VLOOKUP(Tabela14[[#This Row],[ID_COD]],Tabela2[],6,0)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VLOOKUP(Tabela14[[#This Row],[ID_COD]],Tabela2[],6,0)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 t="e">
        <f>VLOOKUP(Tabela14[[#This Row],[ID_COD]],Tabela2[],6,0)</f>
        <v>#N/A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 t="e">
        <f>VLOOKUP(Tabela14[[#This Row],[ID_COD]],Tabela2[],6,0)</f>
        <v>#N/A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VLOOKUP(Tabela14[[#This Row],[ID_COD]],Tabela2[],6,0)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 t="e">
        <f>VLOOKUP(Tabela14[[#This Row],[ID_COD]],Tabela2[],6,0)</f>
        <v>#N/A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VLOOKUP(Tabela14[[#This Row],[ID_COD]],Tabela2[],6,0)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 t="e">
        <f>VLOOKUP(Tabela14[[#This Row],[ID_COD]],Tabela2[],6,0)</f>
        <v>#N/A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 t="e">
        <f>VLOOKUP(Tabela14[[#This Row],[ID_COD]],Tabela2[],6,0)</f>
        <v>#N/A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VLOOKUP(Tabela14[[#This Row],[ID_COD]],Tabela2[],6,0)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VLOOKUP(Tabela14[[#This Row],[ID_COD]],Tabela2[],6,0)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 t="e">
        <f>VLOOKUP(Tabela14[[#This Row],[ID_COD]],Tabela2[],6,0)</f>
        <v>#N/A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 t="e">
        <f>VLOOKUP(Tabela14[[#This Row],[ID_COD]],Tabela2[],6,0)</f>
        <v>#N/A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VLOOKUP(Tabela14[[#This Row],[ID_COD]],Tabela2[],6,0)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 t="e">
        <f>VLOOKUP(Tabela14[[#This Row],[ID_COD]],Tabela2[],6,0)</f>
        <v>#N/A</v>
      </c>
      <c r="G364" t="s">
        <v>101</v>
      </c>
      <c r="H364" s="2">
        <v>17.34</v>
      </c>
    </row>
    <row r="365" spans="1:8" hidden="1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hidden="1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hidden="1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900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 t="e">
        <f>VLOOKUP(Tabela14[[#This Row],[ID_COD]],Tabela2[],6,0)</f>
        <v>#N/A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 t="e">
        <f>VLOOKUP(Tabela14[[#This Row],[ID_COD]],Tabela2[],6,0)</f>
        <v>#N/A</v>
      </c>
      <c r="G369" t="s">
        <v>259</v>
      </c>
      <c r="H369" s="2">
        <v>22.79</v>
      </c>
    </row>
    <row r="370" spans="1:8" hidden="1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 t="e">
        <f>VLOOKUP(Tabela14[[#This Row],[ID_COD]],Tabela2[],6,0)</f>
        <v>#N/A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 t="e">
        <f>VLOOKUP(Tabela14[[#This Row],[ID_COD]],Tabela2[],6,0)</f>
        <v>#N/A</v>
      </c>
      <c r="G372" s="7" t="s">
        <v>228</v>
      </c>
      <c r="H372" s="2">
        <v>25.71</v>
      </c>
    </row>
    <row r="373" spans="1:8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20</v>
      </c>
      <c r="G373" s="7" t="s">
        <v>207</v>
      </c>
      <c r="H373" s="2">
        <v>24.51</v>
      </c>
    </row>
    <row r="374" spans="1:8" hidden="1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zoomScaleNormal="100" workbookViewId="0">
      <selection activeCell="B10" sqref="B10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x14ac:dyDescent="0.25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>
        <v>6.99</v>
      </c>
    </row>
    <row r="3" spans="1:8" x14ac:dyDescent="0.25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>
        <v>9.74</v>
      </c>
    </row>
    <row r="4" spans="1:8" x14ac:dyDescent="0.25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>
        <v>11.85</v>
      </c>
    </row>
    <row r="5" spans="1:8" x14ac:dyDescent="0.25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>
        <v>10.88</v>
      </c>
    </row>
    <row r="6" spans="1:8" x14ac:dyDescent="0.25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>
        <v>14.22</v>
      </c>
    </row>
    <row r="8" spans="1:8" x14ac:dyDescent="0.25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>
        <v>15.44</v>
      </c>
    </row>
    <row r="9" spans="1:8" x14ac:dyDescent="0.25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>
        <v>18.86</v>
      </c>
    </row>
    <row r="10" spans="1:8" x14ac:dyDescent="0.25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>
        <v>19.88</v>
      </c>
    </row>
    <row r="11" spans="1:8" x14ac:dyDescent="0.25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>
        <v>22.8</v>
      </c>
    </row>
    <row r="12" spans="1:8" x14ac:dyDescent="0.25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>
        <v>24.86</v>
      </c>
    </row>
    <row r="13" spans="1:8" x14ac:dyDescent="0.25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>
        <v>26.86</v>
      </c>
    </row>
    <row r="14" spans="1:8" x14ac:dyDescent="0.25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364</v>
      </c>
      <c r="C17" t="s">
        <v>365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366</v>
      </c>
      <c r="C18" t="s">
        <v>365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367</v>
      </c>
      <c r="C19" t="s">
        <v>368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>
        <v>3.66</v>
      </c>
    </row>
    <row r="22" spans="1:8" x14ac:dyDescent="0.25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>
        <v>3.97</v>
      </c>
    </row>
    <row r="23" spans="1:8" x14ac:dyDescent="0.25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>
        <v>4.91</v>
      </c>
    </row>
    <row r="24" spans="1:8" x14ac:dyDescent="0.25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>
        <v>5.63</v>
      </c>
    </row>
    <row r="25" spans="1:8" x14ac:dyDescent="0.25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>
        <v>7.25</v>
      </c>
    </row>
    <row r="26" spans="1:8" x14ac:dyDescent="0.25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>
        <v>10.74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>
        <v>4.96</v>
      </c>
    </row>
    <row r="28" spans="1:8" x14ac:dyDescent="0.25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>
        <v>5.38</v>
      </c>
    </row>
    <row r="29" spans="1:8" x14ac:dyDescent="0.25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>
        <v>6.78</v>
      </c>
    </row>
    <row r="30" spans="1:8" x14ac:dyDescent="0.25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>
        <v>7.94</v>
      </c>
    </row>
    <row r="31" spans="1:8" x14ac:dyDescent="0.25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>
        <v>10.3</v>
      </c>
    </row>
    <row r="32" spans="1:8" x14ac:dyDescent="0.25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>
        <v>14.74</v>
      </c>
    </row>
    <row r="33" spans="1:8" x14ac:dyDescent="0.25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>
        <v>3.85</v>
      </c>
    </row>
    <row r="34" spans="1:8" x14ac:dyDescent="0.25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>
        <v>4.76</v>
      </c>
    </row>
    <row r="35" spans="1:8" x14ac:dyDescent="0.25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>
        <v>5.47</v>
      </c>
    </row>
    <row r="36" spans="1:8" x14ac:dyDescent="0.25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>
        <v>7.03</v>
      </c>
    </row>
    <row r="37" spans="1:8" x14ac:dyDescent="0.25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>
        <v>10.42</v>
      </c>
    </row>
    <row r="38" spans="1:8" x14ac:dyDescent="0.25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>
        <v>5.21</v>
      </c>
    </row>
    <row r="39" spans="1:8" x14ac:dyDescent="0.25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>
        <v>6.58</v>
      </c>
    </row>
    <row r="40" spans="1:8" x14ac:dyDescent="0.25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>
        <v>7.7</v>
      </c>
    </row>
    <row r="41" spans="1:8" x14ac:dyDescent="0.25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>
        <v>9.99</v>
      </c>
    </row>
    <row r="42" spans="1:8" x14ac:dyDescent="0.25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>
        <v>14.3</v>
      </c>
    </row>
    <row r="43" spans="1:8" x14ac:dyDescent="0.25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>
        <v>14.46</v>
      </c>
    </row>
    <row r="44" spans="1:8" x14ac:dyDescent="0.25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>
        <v>19.22</v>
      </c>
    </row>
    <row r="46" spans="1:8" x14ac:dyDescent="0.25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>
        <v>29.67</v>
      </c>
    </row>
    <row r="47" spans="1:8" x14ac:dyDescent="0.25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>
        <v>30.58</v>
      </c>
    </row>
    <row r="48" spans="1:8" x14ac:dyDescent="0.25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>
        <v>32.94</v>
      </c>
    </row>
    <row r="49" spans="1:8" x14ac:dyDescent="0.25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>
        <v>0.44</v>
      </c>
    </row>
    <row r="50" spans="1:8" x14ac:dyDescent="0.25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>
        <v>0.47</v>
      </c>
    </row>
    <row r="51" spans="1:8" x14ac:dyDescent="0.25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>
        <v>0.49</v>
      </c>
    </row>
    <row r="52" spans="1:8" x14ac:dyDescent="0.25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>
        <v>71</v>
      </c>
    </row>
    <row r="53" spans="1:8" x14ac:dyDescent="0.25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>
        <v>6.98</v>
      </c>
    </row>
    <row r="54" spans="1:8" x14ac:dyDescent="0.25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>
        <v>27.88</v>
      </c>
    </row>
    <row r="55" spans="1:8" x14ac:dyDescent="0.25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>
        <v>30.77</v>
      </c>
    </row>
    <row r="57" spans="1:8" x14ac:dyDescent="0.25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>
        <v>94.88</v>
      </c>
    </row>
    <row r="58" spans="1:8" x14ac:dyDescent="0.25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>
        <v>107.44</v>
      </c>
    </row>
    <row r="60" spans="1:8" x14ac:dyDescent="0.25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>
        <v>0.6</v>
      </c>
    </row>
    <row r="61" spans="1:8" x14ac:dyDescent="0.25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>
        <v>0.62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>
        <v>0.65</v>
      </c>
    </row>
    <row r="63" spans="1:8" x14ac:dyDescent="0.25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>
        <v>86.5</v>
      </c>
    </row>
    <row r="64" spans="1:8" x14ac:dyDescent="0.25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>
        <v>7.96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>
        <v>4.28</v>
      </c>
    </row>
    <row r="66" spans="1:8" x14ac:dyDescent="0.25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>
        <v>4.2699999999999996</v>
      </c>
    </row>
    <row r="67" spans="1:8" x14ac:dyDescent="0.25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>
        <v>4.6399999999999997</v>
      </c>
    </row>
    <row r="68" spans="1:8" x14ac:dyDescent="0.25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>
        <v>5.74</v>
      </c>
    </row>
    <row r="69" spans="1:8" x14ac:dyDescent="0.25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>
        <v>6.57</v>
      </c>
    </row>
    <row r="70" spans="1:8" x14ac:dyDescent="0.25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>
        <v>8.4499999999999993</v>
      </c>
    </row>
    <row r="71" spans="1:8" x14ac:dyDescent="0.25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>
        <v>12.58</v>
      </c>
    </row>
    <row r="72" spans="1:8" x14ac:dyDescent="0.25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>
        <v>5.9</v>
      </c>
    </row>
    <row r="73" spans="1:8" x14ac:dyDescent="0.25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>
        <v>6.41</v>
      </c>
    </row>
    <row r="74" spans="1:8" x14ac:dyDescent="0.25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>
        <v>7.92</v>
      </c>
    </row>
    <row r="75" spans="1:8" x14ac:dyDescent="0.25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>
        <v>9.3699999999999992</v>
      </c>
    </row>
    <row r="76" spans="1:8" x14ac:dyDescent="0.25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>
        <v>12.03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>
        <v>17.34</v>
      </c>
    </row>
    <row r="78" spans="1:8" x14ac:dyDescent="0.25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>
        <v>4.5</v>
      </c>
    </row>
    <row r="79" spans="1:8" x14ac:dyDescent="0.25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>
        <v>5.57</v>
      </c>
    </row>
    <row r="80" spans="1:8" x14ac:dyDescent="0.25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>
        <v>6.38</v>
      </c>
    </row>
    <row r="81" spans="1:8" x14ac:dyDescent="0.25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>
        <v>8.19</v>
      </c>
    </row>
    <row r="82" spans="1:8" x14ac:dyDescent="0.25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>
        <v>12.21</v>
      </c>
    </row>
    <row r="83" spans="1:8" x14ac:dyDescent="0.25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>
        <v>6.23</v>
      </c>
    </row>
    <row r="84" spans="1:8" x14ac:dyDescent="0.25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>
        <v>7.67</v>
      </c>
    </row>
    <row r="85" spans="1:8" x14ac:dyDescent="0.25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>
        <v>9.08</v>
      </c>
    </row>
    <row r="86" spans="1:8" x14ac:dyDescent="0.25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>
        <v>11.67</v>
      </c>
    </row>
    <row r="87" spans="1:8" x14ac:dyDescent="0.25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>
        <v>16.829999999999998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tabSelected="1" topLeftCell="A286" workbookViewId="0">
      <selection activeCell="F323" sqref="F323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hidden="1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hidden="1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hidden="1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0</v>
      </c>
    </row>
    <row r="5" spans="1:7" hidden="1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14000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13000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hidden="1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hidden="1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648</v>
      </c>
    </row>
    <row r="12" spans="1:7" hidden="1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0</v>
      </c>
    </row>
    <row r="14" spans="1:7" hidden="1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700</v>
      </c>
    </row>
    <row r="17" spans="1:7" hidden="1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40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hidden="1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hidden="1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120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hidden="1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hidden="1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hidden="1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hidden="1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128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hidden="1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hidden="1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hidden="1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hidden="1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hidden="1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hidden="1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hidden="1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hidden="1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hidden="1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hidden="1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hidden="1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hidden="1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hidden="1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hidden="1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hidden="1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hidden="1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hidden="1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hidden="1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hidden="1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hidden="1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hidden="1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0</v>
      </c>
    </row>
    <row r="88" spans="1:7" hidden="1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0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>
        <v>30</v>
      </c>
      <c r="G89" s="19">
        <f>[1]!Tabela2[[#This Row],[VOL.]]*[1]!Tabela2[[#This Row],[UNID.]]</f>
        <v>72</v>
      </c>
    </row>
    <row r="90" spans="1:7" hidden="1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hidden="1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>
        <v>30</v>
      </c>
      <c r="G92" s="19">
        <f>[1]!Tabela2[[#This Row],[VOL.]]*[1]!Tabela2[[#This Row],[UNID.]]</f>
        <v>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>
        <v>30</v>
      </c>
      <c r="G93" s="19">
        <f>[1]!Tabela2[[#This Row],[VOL.]]*[1]!Tabela2[[#This Row],[UNID.]]</f>
        <v>120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>
        <v>30</v>
      </c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>
        <v>25</v>
      </c>
      <c r="G95" s="19">
        <f>[1]!Tabela2[[#This Row],[VOL.]]*[1]!Tabela2[[#This Row],[UNID.]]</f>
        <v>0</v>
      </c>
    </row>
    <row r="96" spans="1:7" hidden="1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>
        <v>25</v>
      </c>
      <c r="G97" s="19">
        <f>[1]!Tabela2[[#This Row],[VOL.]]*[1]!Tabela2[[#This Row],[UNID.]]</f>
        <v>0</v>
      </c>
    </row>
    <row r="98" spans="1:7" hidden="1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>
        <v>30</v>
      </c>
      <c r="G99" s="19">
        <f>[1]!Tabela2[[#This Row],[VOL.]]*[1]!Tabela2[[#This Row],[UNID.]]</f>
        <v>0</v>
      </c>
    </row>
    <row r="100" spans="1:7" hidden="1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60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>
        <v>30</v>
      </c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>
        <v>30</v>
      </c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>
        <v>30</v>
      </c>
      <c r="G103" s="19">
        <f>[1]!Tabela2[[#This Row],[VOL.]]*[1]!Tabela2[[#This Row],[UNID.]]</f>
        <v>0</v>
      </c>
    </row>
    <row r="104" spans="1:7" hidden="1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hidden="1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>
        <v>30</v>
      </c>
      <c r="G106" s="19">
        <f>[1]!Tabela2[[#This Row],[VOL.]]*[1]!Tabela2[[#This Row],[UNID.]]</f>
        <v>30</v>
      </c>
    </row>
    <row r="107" spans="1:7" hidden="1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>
        <v>25</v>
      </c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>
        <v>25</v>
      </c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hidden="1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>
        <v>36</v>
      </c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>
        <v>30</v>
      </c>
      <c r="G116" s="19">
        <f>[1]!Tabela2[[#This Row],[VOL.]]*[1]!Tabela2[[#This Row],[UNID.]]</f>
        <v>0</v>
      </c>
    </row>
    <row r="117" spans="1:7" hidden="1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hidden="1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>
        <v>30</v>
      </c>
      <c r="G119" s="19">
        <f>[1]!Tabela2[[#This Row],[VOL.]]*[1]!Tabela2[[#This Row],[UNID.]]</f>
        <v>0</v>
      </c>
    </row>
    <row r="120" spans="1:7" hidden="1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2790</v>
      </c>
    </row>
    <row r="121" spans="1:7" hidden="1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>
        <v>25</v>
      </c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0</v>
      </c>
    </row>
    <row r="125" spans="1:7" hidden="1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hidden="1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hidden="1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hidden="1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>
        <v>20</v>
      </c>
      <c r="G135" s="19">
        <f>[1]!Tabela2[[#This Row],[VOL.]]*[1]!Tabela2[[#This Row],[UNID.]]</f>
        <v>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>
        <v>20</v>
      </c>
      <c r="G136" s="19">
        <f>[1]!Tabela2[[#This Row],[VOL.]]*[1]!Tabela2[[#This Row],[UNID.]]</f>
        <v>260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>
        <v>20</v>
      </c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>
        <v>20</v>
      </c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>
        <v>20</v>
      </c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>
        <v>20</v>
      </c>
      <c r="G143" s="19">
        <f>[1]!Tabela2[[#This Row],[VOL.]]*[1]!Tabela2[[#This Row],[UNID.]]</f>
        <v>0</v>
      </c>
    </row>
    <row r="144" spans="1:7" hidden="1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>
        <v>20</v>
      </c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hidden="1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hidden="1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hidden="1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hidden="1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5000</v>
      </c>
    </row>
    <row r="150" spans="1:7" hidden="1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10000</v>
      </c>
    </row>
    <row r="151" spans="1:7" hidden="1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0</v>
      </c>
    </row>
    <row r="152" spans="1:7" hidden="1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12</v>
      </c>
    </row>
    <row r="153" spans="1:7" hidden="1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hidden="1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0</v>
      </c>
    </row>
    <row r="155" spans="1:7" hidden="1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hidden="1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hidden="1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220</v>
      </c>
    </row>
    <row r="158" spans="1:7" hidden="1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hidden="1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hidden="1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140</v>
      </c>
    </row>
    <row r="161" spans="1:7" hidden="1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0</v>
      </c>
    </row>
    <row r="162" spans="1:7" hidden="1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hidden="1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hidden="1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hidden="1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hidden="1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hidden="1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hidden="1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hidden="1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35</v>
      </c>
    </row>
    <row r="170" spans="1:7" hidden="1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hidden="1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0</v>
      </c>
    </row>
    <row r="172" spans="1:7" hidden="1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60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>
        <v>30</v>
      </c>
      <c r="G173" s="19">
        <f>[1]!Tabela2[[#This Row],[VOL.]]*[1]!Tabela2[[#This Row],[UNID.]]</f>
        <v>40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>
        <v>30</v>
      </c>
      <c r="G174" s="19">
        <f>[1]!Tabela2[[#This Row],[VOL.]]*[1]!Tabela2[[#This Row],[UNID.]]</f>
        <v>0</v>
      </c>
    </row>
    <row r="175" spans="1:7" hidden="1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>
        <v>36</v>
      </c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>
        <v>20</v>
      </c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0</v>
      </c>
    </row>
    <row r="185" spans="1:7" hidden="1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>
        <v>20</v>
      </c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>
        <v>20</v>
      </c>
      <c r="G187" s="19">
        <f>[1]!Tabela2[[#This Row],[VOL.]]*[1]!Tabela2[[#This Row],[UNID.]]</f>
        <v>40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>
        <v>20</v>
      </c>
      <c r="G188" s="19">
        <f>[1]!Tabela2[[#This Row],[VOL.]]*[1]!Tabela2[[#This Row],[UNID.]]</f>
        <v>0</v>
      </c>
    </row>
    <row r="189" spans="1:7" hidden="1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20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 t="s">
        <v>617</v>
      </c>
      <c r="E194" s="13"/>
      <c r="F194" s="13">
        <v>1000</v>
      </c>
      <c r="G194" s="19">
        <f>[1]!Tabela2[[#This Row],[VOL.]]*[1]!Tabela2[[#This Row],[UNID.]]</f>
        <v>0</v>
      </c>
    </row>
    <row r="195" spans="1:7" hidden="1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hidden="1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hidden="1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hidden="1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hidden="1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>
        <v>50</v>
      </c>
      <c r="G200" s="19">
        <f>[1]!Tabela2[[#This Row],[VOL.]]*[1]!Tabela2[[#This Row],[UNID.]]</f>
        <v>0</v>
      </c>
    </row>
    <row r="201" spans="1:7" hidden="1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hidden="1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hidden="1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hidden="1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750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>
        <v>40</v>
      </c>
      <c r="G207" s="19">
        <f>[1]!Tabela2[[#This Row],[VOL.]]*[1]!Tabela2[[#This Row],[UNID.]]</f>
        <v>0</v>
      </c>
    </row>
    <row r="208" spans="1:7" hidden="1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0</v>
      </c>
    </row>
    <row r="209" spans="1:7" hidden="1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120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>
        <v>32</v>
      </c>
      <c r="G211" s="19">
        <f>[1]!Tabela2[[#This Row],[VOL.]]*[1]!Tabela2[[#This Row],[UNID.]]</f>
        <v>0</v>
      </c>
    </row>
    <row r="212" spans="1:7" hidden="1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0</v>
      </c>
    </row>
    <row r="213" spans="1:7" hidden="1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hidden="1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160</v>
      </c>
    </row>
    <row r="215" spans="1:7" hidden="1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hidden="1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hidden="1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>
        <v>32</v>
      </c>
      <c r="G218" s="19">
        <f>[1]!Tabela2[[#This Row],[VOL.]]*[1]!Tabela2[[#This Row],[UNID.]]</f>
        <v>0</v>
      </c>
    </row>
    <row r="219" spans="1:7" hidden="1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hidden="1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>
        <v>32</v>
      </c>
      <c r="G221" s="19">
        <f>[1]!Tabela2[[#This Row],[VOL.]]*[1]!Tabela2[[#This Row],[UNID.]]</f>
        <v>128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>
        <v>32</v>
      </c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>
        <v>32</v>
      </c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>
        <v>32</v>
      </c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>
        <v>32</v>
      </c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>
        <v>32</v>
      </c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>
        <v>32</v>
      </c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>
        <v>32</v>
      </c>
      <c r="G240" s="19">
        <f>[1]!Tabela2[[#This Row],[VOL.]]*[1]!Tabela2[[#This Row],[UNID.]]</f>
        <v>0</v>
      </c>
    </row>
    <row r="241" spans="1:7" hidden="1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0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>
        <v>32</v>
      </c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hidden="1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0</v>
      </c>
    </row>
    <row r="250" spans="1:7" hidden="1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hidden="1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hidden="1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>
        <v>90</v>
      </c>
      <c r="G253" s="19">
        <f>[1]!Tabela2[[#This Row],[VOL.]]*[1]!Tabela2[[#This Row],[UNID.]]</f>
        <v>0</v>
      </c>
    </row>
    <row r="254" spans="1:7" hidden="1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hidden="1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hidden="1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>
        <v>70</v>
      </c>
      <c r="G257" s="19">
        <f>[1]!Tabela2[[#This Row],[VOL.]]*[1]!Tabela2[[#This Row],[UNID.]]</f>
        <v>0</v>
      </c>
    </row>
    <row r="258" spans="1:7" hidden="1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0</v>
      </c>
    </row>
    <row r="259" spans="1:7" hidden="1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hidden="1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104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>
        <v>60</v>
      </c>
      <c r="G261" s="19">
        <f>[1]!Tabela2[[#This Row],[VOL.]]*[1]!Tabela2[[#This Row],[UNID.]]</f>
        <v>0</v>
      </c>
    </row>
    <row r="262" spans="1:7" hidden="1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hidden="1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hidden="1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>
        <v>35</v>
      </c>
      <c r="G265" s="19">
        <f>[1]!Tabela2[[#This Row],[VOL.]]*[1]!Tabela2[[#This Row],[UNID.]]</f>
        <v>0</v>
      </c>
    </row>
    <row r="266" spans="1:7" hidden="1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0</v>
      </c>
    </row>
    <row r="267" spans="1:7" hidden="1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>
        <v>80</v>
      </c>
      <c r="G268" s="19">
        <f>[1]!Tabela2[[#This Row],[VOL.]]*[1]!Tabela2[[#This Row],[UNID.]]</f>
        <v>21150</v>
      </c>
    </row>
    <row r="269" spans="1:7" hidden="1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>
        <v>85</v>
      </c>
      <c r="G270" s="19">
        <f>[1]!Tabela2[[#This Row],[VOL.]]*[1]!Tabela2[[#This Row],[UNID.]]</f>
        <v>0</v>
      </c>
    </row>
    <row r="271" spans="1:7" hidden="1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hidden="1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hidden="1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hidden="1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hidden="1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110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>
        <v>110</v>
      </c>
      <c r="G276" s="19">
        <f>[1]!Tabela2[[#This Row],[VOL.]]*[1]!Tabela2[[#This Row],[UNID.]]</f>
        <v>0</v>
      </c>
    </row>
    <row r="277" spans="1:7" hidden="1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hidden="1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>
        <v>50</v>
      </c>
      <c r="G279" s="19">
        <f>[1]!Tabela2[[#This Row],[VOL.]]*[1]!Tabela2[[#This Row],[UNID.]]</f>
        <v>0</v>
      </c>
    </row>
    <row r="280" spans="1:7" hidden="1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>
        <v>90</v>
      </c>
      <c r="G281" s="19">
        <f>[1]!Tabela2[[#This Row],[VOL.]]*[1]!Tabela2[[#This Row],[UNID.]]</f>
        <v>0</v>
      </c>
    </row>
    <row r="282" spans="1:7" hidden="1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hidden="1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hidden="1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>
        <v>110</v>
      </c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>
        <v>85</v>
      </c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>
        <v>80</v>
      </c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>
        <v>70</v>
      </c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>
        <v>45</v>
      </c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>
        <v>90</v>
      </c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>
        <v>80</v>
      </c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>
        <v>70</v>
      </c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>
        <v>60</v>
      </c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>
        <v>35</v>
      </c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>
        <v>110</v>
      </c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>
        <v>110</v>
      </c>
      <c r="G296" s="19">
        <f>[1]!Tabela2[[#This Row],[VOL.]]*[1]!Tabela2[[#This Row],[UNID.]]</f>
        <v>0</v>
      </c>
    </row>
    <row r="297" spans="1:7" hidden="1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hidden="1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>
        <v>50</v>
      </c>
      <c r="G299" s="19">
        <f>[1]!Tabela2[[#This Row],[VOL.]]*[1]!Tabela2[[#This Row],[UNID.]]</f>
        <v>0</v>
      </c>
    </row>
    <row r="300" spans="1:7" hidden="1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>
        <v>90</v>
      </c>
      <c r="G301" s="19">
        <f>[1]!Tabela2[[#This Row],[VOL.]]*[1]!Tabela2[[#This Row],[UNID.]]</f>
        <v>0</v>
      </c>
    </row>
    <row r="302" spans="1:7" hidden="1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>
        <v>60</v>
      </c>
      <c r="G303" s="19">
        <f>[1]!Tabela2[[#This Row],[VOL.]]*[1]!Tabela2[[#This Row],[UNID.]]</f>
        <v>0</v>
      </c>
    </row>
    <row r="304" spans="1:7" hidden="1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>
        <v>110</v>
      </c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>
        <v>85</v>
      </c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>
        <v>80</v>
      </c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>
        <v>70</v>
      </c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>
        <v>45</v>
      </c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>
        <v>90</v>
      </c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>
        <v>80</v>
      </c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>
        <v>70</v>
      </c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>
        <v>60</v>
      </c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>
        <v>35</v>
      </c>
      <c r="G314" s="19">
        <f>[1]!Tabela2[[#This Row],[VOL.]]*[1]!Tabela2[[#This Row],[UNID.]]</f>
        <v>0</v>
      </c>
    </row>
    <row r="315" spans="1:7" hidden="1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0</v>
      </c>
    </row>
    <row r="316" spans="1:7" hidden="1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>
        <v>12</v>
      </c>
      <c r="G317" s="19">
        <f>[1]!Tabela2[[#This Row],[VOL.]]*[1]!Tabela2[[#This Row],[UNID.]]</f>
        <v>900</v>
      </c>
    </row>
    <row r="318" spans="1:7" hidden="1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hidden="1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156</v>
      </c>
    </row>
    <row r="321" spans="1:7" hidden="1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4500</v>
      </c>
    </row>
    <row r="322" spans="1:7" hidden="1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>
        <v>40</v>
      </c>
      <c r="G323" s="19">
        <f>[1]!Tabela2[[#This Row],[VOL.]]*[1]!Tabela2[[#This Row],[UNID.]]</f>
        <v>0</v>
      </c>
    </row>
    <row r="324" spans="1:7" hidden="1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>
        <v>1000</v>
      </c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>
        <v>1000</v>
      </c>
      <c r="G326" s="19">
        <f>[1]!Tabela2[[#This Row],[VOL.]]*[1]!Tabela2[[#This Row],[UNID.]]</f>
        <v>560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>
        <v>1000</v>
      </c>
      <c r="G327" s="19">
        <f>[1]!Tabela2[[#This Row],[VOL.]]*[1]!Tabela2[[#This Row],[UNID.]]</f>
        <v>0</v>
      </c>
    </row>
    <row r="328" spans="1:7" hidden="1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50</v>
      </c>
      <c r="G329" s="19">
        <f>[1]!Tabela2[[#This Row],[VOL.]]*[1]!Tabela2[[#This Row],[UNID.]]</f>
        <v>0</v>
      </c>
    </row>
    <row r="330" spans="1:7" hidden="1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0</v>
      </c>
    </row>
    <row r="331" spans="1:7" hidden="1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2026-05-07T20:43:20Z</dcterms:modified>
</cp:coreProperties>
</file>