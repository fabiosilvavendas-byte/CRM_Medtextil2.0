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04FB0A0C-1CC5-4E5D-BBCA-9CA2D9ECE2FD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CONCILIADA!$A$1:$G$418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3" l="1"/>
  <c r="H15" i="3"/>
  <c r="H14" i="3"/>
  <c r="H12" i="3"/>
  <c r="H11" i="3"/>
  <c r="H10" i="3"/>
  <c r="H9" i="3"/>
  <c r="H8" i="3"/>
  <c r="H7" i="3"/>
  <c r="H6" i="3"/>
  <c r="H5" i="3"/>
  <c r="H4" i="3"/>
  <c r="H3" i="3"/>
  <c r="H2" i="3"/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<sst xmlns="http://schemas.openxmlformats.org/spreadsheetml/2006/main" count="3301" uniqueCount="649">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</sst>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8" fontId="6" fillId="0" borderId="2" xfId="0" applyNumberFormat="1" applyFont="1" applyBorder="1" applyAlignment="1">
      <alignment horizontal="center" vertical="center"/>
    </xf>
    <xf numFmtId="8" fontId="6" fillId="0" borderId="3" xfId="0" applyNumberFormat="1" applyFont="1" applyBorder="1" applyAlignment="1">
      <alignment horizontal="center" vertical="center"/>
    </xf>
    <xf numFmtId="8" fontId="6" fillId="0" borderId="4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center" vertical="center"/>
    </xf>
    <xf numFmtId="8" fontId="7" fillId="0" borderId="3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right" vertical="center"/>
    </xf>
    <xf numFmtId="8" fontId="7" fillId="0" borderId="3" xfId="0" applyNumberFormat="1" applyFont="1" applyBorder="1" applyAlignment="1">
      <alignment horizontal="right" vertical="center"/>
    </xf>
    <xf numFmtId="8" fontId="7" fillId="0" borderId="6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right" vertical="center"/>
    </xf>
    <xf numFmtId="8" fontId="6" fillId="0" borderId="3" xfId="0" applyNumberFormat="1" applyFont="1" applyBorder="1" applyAlignment="1">
      <alignment horizontal="center" vertical="center" wrapText="1"/>
    </xf>
    <xf numFmtId="8" fontId="6" fillId="0" borderId="8" xfId="0" applyNumberFormat="1" applyFont="1" applyBorder="1" applyAlignment="1">
      <alignment horizontal="center" vertical="center" wrapText="1"/>
    </xf>
    <xf numFmtId="8" fontId="6" fillId="0" borderId="2" xfId="0" applyNumberFormat="1" applyFont="1" applyBorder="1" applyAlignment="1">
      <alignment horizontal="center" vertical="center" wrapText="1"/>
    </xf>
    <xf numFmtId="44" fontId="7" fillId="0" borderId="9" xfId="1" applyFont="1" applyFill="1" applyBorder="1" applyAlignment="1">
      <alignment horizontal="center" vertical="center"/>
    </xf>
    <xf numFmtId="44" fontId="6" fillId="0" borderId="10" xfId="1" applyFont="1" applyFill="1" applyBorder="1" applyAlignment="1">
      <alignment horizontal="center" vertical="center"/>
    </xf>
    <xf numFmtId="44" fontId="7" fillId="0" borderId="3" xfId="1" applyFont="1" applyFill="1" applyBorder="1" applyAlignment="1">
      <alignment horizontal="center" vertical="center"/>
    </xf>
    <xf numFmtId="8" fontId="7" fillId="0" borderId="11" xfId="0" applyNumberFormat="1" applyFont="1" applyBorder="1" applyAlignment="1">
      <alignment horizontal="center" vertical="center"/>
    </xf>
    <xf numFmtId="44" fontId="6" fillId="0" borderId="3" xfId="1" applyFont="1" applyBorder="1" applyAlignment="1">
      <alignment horizontal="center" vertical="center" wrapText="1"/>
    </xf>
    <xf numFmtId="44" fontId="6" fillId="0" borderId="2" xfId="1" applyFont="1" applyBorder="1" applyAlignment="1">
      <alignment horizontal="center" vertical="center" wrapText="1"/>
    </xf>
    <xf numFmtId="44" fontId="6" fillId="0" borderId="8" xfId="1" applyFont="1" applyBorder="1" applyAlignment="1">
      <alignment horizontal="center" vertical="center" wrapText="1"/>
    </xf>
    <xf numFmtId="0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44" fontId="6" fillId="0" borderId="5" xfId="1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/>
    </xf>
    <xf numFmtId="44" fontId="6" fillId="0" borderId="2" xfId="1" applyFont="1" applyBorder="1" applyAlignment="1">
      <alignment horizontal="center" vertical="center"/>
    </xf>
    <xf numFmtId="44" fontId="6" fillId="0" borderId="4" xfId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418" tableType="queryTable" totalsRowShown="0">
  <autoFilter ref="A1:H418" xr:uid="{5499586E-A189-44D8-9C58-8F69F4EC7CA4}">
    <filterColumn colId="5">
      <filters>
        <filter val="0"/>
        <filter val="#N/D"/>
      </filters>
    </filterColumn>
  </autoFilter>
  <tableColumns count="8">
    <tableColumn id="2" xr3:uid="{3202AFED-4A11-4AD5-8FCF-B57F6545F53A}" uniqueName="2" name="ID_COD" queryTableFieldId="2" dataDxfId="16"/>
    <tableColumn id="1" xr3:uid="{5387F357-AA02-4B91-B30F-AB45B122F19D}" uniqueName="1" name="Grupo" queryTableFieldId="1" dataDxfId="15"/>
    <tableColumn id="3" xr3:uid="{AF8B37DC-8D9E-415B-8540-844DCFD3C2C2}" uniqueName="3" name="Descrição" queryTableFieldId="3" dataDxfId="14"/>
    <tableColumn id="4" xr3:uid="{15BCD1FE-6E96-4337-BF2C-1D0977BEE2EA}" uniqueName="4" name="Linha" queryTableFieldId="4" dataDxfId="13"/>
    <tableColumn id="5" xr3:uid="{5AEAA593-AC57-42D0-80C6-A7ADC3170E25}" uniqueName="5" name="Gramatura" queryTableFieldId="5" dataDxfId="12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 dataDxfId="11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418"/>
  <sheetViews>
    <sheetView tabSelected="1" workbookViewId="0">
      <pane ySplit="1" topLeftCell="A17" activePane="bottomLeft" state="frozen"/>
      <selection pane="bottomLeft" activeCell="B406" sqref="B406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hidden="1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preços'!A1:H87,8,FALSE)</f>
        <v>0.41039999999999999</v>
      </c>
    </row>
    <row r="3" spans="1:8" hidden="1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preços'!A2:H88,8,FALSE)</f>
        <v>0.43200000000000005</v>
      </c>
    </row>
    <row r="4" spans="1:8" hidden="1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preços'!A3:H89,8,FALSE)</f>
        <v>0.4536</v>
      </c>
    </row>
    <row r="5" spans="1:8" hidden="1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f>VLOOKUP(A5,'Tabela de preços'!A4:H90,8,FALSE)</f>
        <v>0.47520000000000001</v>
      </c>
    </row>
    <row r="6" spans="1:8" hidden="1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f>VLOOKUP(A6,'Tabela de preços'!A5:H91,8,FALSE)</f>
        <v>0.50759999999999994</v>
      </c>
    </row>
    <row r="7" spans="1:8" hidden="1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f>VLOOKUP(A7,'Tabela de preços'!A6:H92,8,FALSE)</f>
        <v>0.5292</v>
      </c>
    </row>
    <row r="8" spans="1:8" hidden="1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1000</v>
      </c>
      <c r="G8" t="s">
        <v>253</v>
      </c>
      <c r="H8" s="2">
        <f>VLOOKUP(A8,'Tabela de preços'!A7:H93,8,FALSE)</f>
        <v>0.64800000000000002</v>
      </c>
    </row>
    <row r="9" spans="1:8" hidden="1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f>VLOOKUP(A9,'Tabela de preços'!A8:H94,8,FALSE)</f>
        <v>0.66959999999999997</v>
      </c>
    </row>
    <row r="10" spans="1:8" hidden="1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f>VLOOKUP(A10,'Tabela de preços'!A9:H95,8,FALSE)</f>
        <v>0.70200000000000007</v>
      </c>
    </row>
    <row r="11" spans="1:8" hidden="1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f>VLOOKUP(A11,'Tabela de preços'!A10:H96,8,FALSE)</f>
        <v>2.8839999999999999</v>
      </c>
    </row>
    <row r="12" spans="1:8" hidden="1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f>VLOOKUP(A12,'Tabela de preços'!A11:H97,8,FALSE)</f>
        <v>5.3353999999999999</v>
      </c>
    </row>
    <row r="13" spans="1:8" hidden="1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hidden="1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 t="e">
        <f>VLOOKUP(A14,'Tabela de preços'!A13:H99,8,FALSE)</f>
        <v>#N/A</v>
      </c>
    </row>
    <row r="15" spans="1:8" hidden="1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f>VLOOKUP(A15,'Tabela de preços'!A14:H100,8,FALSE)</f>
        <v>7.1894</v>
      </c>
    </row>
    <row r="16" spans="1:8" hidden="1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f>VLOOKUP(A17,'Tabela de preços'!A16:H102,8,FALSE)</f>
        <v>4.4084000000000003</v>
      </c>
    </row>
    <row r="18" spans="1:8" hidden="1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hidden="1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hidden="1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hidden="1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hidden="1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hidden="1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hidden="1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hidden="1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hidden="1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hidden="1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hidden="1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hidden="1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40</v>
      </c>
      <c r="G47" t="s">
        <v>267</v>
      </c>
      <c r="H47" s="2">
        <v>29.207619047619044</v>
      </c>
    </row>
    <row r="48" spans="1:8" hidden="1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hidden="1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hidden="1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hidden="1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hidden="1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hidden="1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hidden="1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32</v>
      </c>
      <c r="G62" t="s">
        <v>108</v>
      </c>
      <c r="H62" s="2">
        <v>18.73076923076923</v>
      </c>
    </row>
    <row r="63" spans="1:8" hidden="1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hidden="1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hidden="1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32</v>
      </c>
      <c r="G65" t="s">
        <v>286</v>
      </c>
      <c r="H65" s="2">
        <v>17.961666666666662</v>
      </c>
    </row>
    <row r="66" spans="1:8" hidden="1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32</v>
      </c>
      <c r="G66" t="s">
        <v>287</v>
      </c>
      <c r="H66" s="2">
        <v>18.652499999999996</v>
      </c>
    </row>
    <row r="67" spans="1:8" hidden="1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32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hidden="1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32</v>
      </c>
      <c r="G74" t="s">
        <v>284</v>
      </c>
      <c r="H74" s="2">
        <v>28.77</v>
      </c>
    </row>
    <row r="75" spans="1:8" hidden="1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32</v>
      </c>
      <c r="G75" t="s">
        <v>280</v>
      </c>
      <c r="H75" s="2">
        <v>29.96875</v>
      </c>
    </row>
    <row r="76" spans="1:8" hidden="1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hidden="1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hidden="1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hidden="1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hidden="1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hidden="1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hidden="1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hidden="1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hidden="1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hidden="1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40</v>
      </c>
      <c r="G87" t="s">
        <v>319</v>
      </c>
      <c r="H87" s="2">
        <v>16.59</v>
      </c>
    </row>
    <row r="88" spans="1:8" hidden="1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hidden="1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hidden="1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hidden="1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hidden="1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1000</v>
      </c>
      <c r="G93" t="s">
        <v>301</v>
      </c>
      <c r="H93" s="2">
        <v>13.525185185185185</v>
      </c>
    </row>
    <row r="94" spans="1:8" hidden="1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hidden="1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hidden="1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32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hidden="1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hidden="1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hidden="1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hidden="1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hidden="1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hidden="1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hidden="1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30</v>
      </c>
      <c r="G117" t="s">
        <v>195</v>
      </c>
      <c r="H117" s="2">
        <v>16.910476190476189</v>
      </c>
    </row>
    <row r="118" spans="1:8" hidden="1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hidden="1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hidden="1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30</v>
      </c>
      <c r="G120" t="s">
        <v>199</v>
      </c>
      <c r="H120" s="2">
        <v>19.116190476190475</v>
      </c>
    </row>
    <row r="121" spans="1:8" hidden="1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30</v>
      </c>
      <c r="G121" t="s">
        <v>200</v>
      </c>
      <c r="H121" s="2">
        <v>19.851428571428571</v>
      </c>
    </row>
    <row r="122" spans="1:8" hidden="1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30</v>
      </c>
      <c r="G122" t="s">
        <v>201</v>
      </c>
      <c r="H122" s="2">
        <v>20.586666666666666</v>
      </c>
    </row>
    <row r="123" spans="1:8" hidden="1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25</v>
      </c>
      <c r="G123" t="s">
        <v>202</v>
      </c>
      <c r="H123" s="2">
        <v>21.321904761904758</v>
      </c>
    </row>
    <row r="124" spans="1:8" hidden="1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hidden="1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25</v>
      </c>
      <c r="G125" t="s">
        <v>204</v>
      </c>
      <c r="H125" s="2">
        <v>22.792380952380952</v>
      </c>
    </row>
    <row r="126" spans="1:8" hidden="1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hidden="1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30</v>
      </c>
      <c r="G127" t="s">
        <v>206</v>
      </c>
      <c r="H127" s="2">
        <v>24.262857142857143</v>
      </c>
    </row>
    <row r="128" spans="1:8" hidden="1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hidden="1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hidden="1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20</v>
      </c>
      <c r="G132" t="s">
        <v>193</v>
      </c>
      <c r="H132" s="2">
        <v>30.471891891891893</v>
      </c>
    </row>
    <row r="133" spans="1:8" hidden="1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20</v>
      </c>
      <c r="G133" t="s">
        <v>184</v>
      </c>
      <c r="H133" s="2">
        <v>31.273783783783788</v>
      </c>
    </row>
    <row r="134" spans="1:8" hidden="1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20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hidden="1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hidden="1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20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hidden="1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hidden="1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30</v>
      </c>
      <c r="G141" t="s">
        <v>207</v>
      </c>
      <c r="H141" s="2">
        <v>16.596799999999998</v>
      </c>
    </row>
    <row r="142" spans="1:8" hidden="1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30</v>
      </c>
      <c r="G142" t="s">
        <v>209</v>
      </c>
      <c r="H142" s="2">
        <v>17.351200000000002</v>
      </c>
    </row>
    <row r="143" spans="1:8" hidden="1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30</v>
      </c>
      <c r="G143" t="s">
        <v>207</v>
      </c>
      <c r="H143" s="2">
        <v>18.105599999999999</v>
      </c>
    </row>
    <row r="144" spans="1:8" hidden="1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hidden="1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hidden="1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30</v>
      </c>
      <c r="G146" t="s">
        <v>218</v>
      </c>
      <c r="H146" s="2">
        <v>20.3688</v>
      </c>
    </row>
    <row r="147" spans="1:8" hidden="1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hidden="1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25</v>
      </c>
      <c r="G148" t="s">
        <v>219</v>
      </c>
      <c r="H148" s="2">
        <v>21.877599999999997</v>
      </c>
    </row>
    <row r="149" spans="1:8" hidden="1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25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hidden="1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30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hidden="1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hidden="1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hidden="1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20</v>
      </c>
      <c r="G163" t="s">
        <v>207</v>
      </c>
      <c r="H163" s="2" t="e">
        <v>#N/A</v>
      </c>
    </row>
    <row r="164" spans="1:8" hidden="1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20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hidden="1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hidden="1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hidden="1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36</v>
      </c>
      <c r="G168" t="s">
        <v>228</v>
      </c>
      <c r="H168" s="2">
        <v>17.38</v>
      </c>
    </row>
    <row r="169" spans="1:8" hidden="1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30</v>
      </c>
      <c r="G169" t="s">
        <v>228</v>
      </c>
      <c r="H169" s="2">
        <v>18.170000000000002</v>
      </c>
    </row>
    <row r="170" spans="1:8" hidden="1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hidden="1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hidden="1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30</v>
      </c>
      <c r="G172" t="s">
        <v>238</v>
      </c>
      <c r="H172" s="2">
        <v>20.54</v>
      </c>
    </row>
    <row r="173" spans="1:8" hidden="1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hidden="1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hidden="1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25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hidden="1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hidden="1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hidden="1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36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hidden="1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20</v>
      </c>
      <c r="G186" t="s">
        <v>230</v>
      </c>
      <c r="H186" s="2">
        <v>30.529756097560973</v>
      </c>
    </row>
    <row r="187" spans="1:8" hidden="1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20</v>
      </c>
      <c r="G187" t="s">
        <v>231</v>
      </c>
      <c r="H187" s="2">
        <v>31.333170731707312</v>
      </c>
    </row>
    <row r="188" spans="1:8" hidden="1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hidden="1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hidden="1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hidden="1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20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3.66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3.97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4.91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5.63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7.25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10.74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5.38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6.78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7.94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10.3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14.74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hidden="1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hidden="1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hidden="1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hidden="1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hidden="1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hidden="1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hidden="1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hidden="1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hidden="1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hidden="1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hidden="1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hidden="1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hidden="1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hidden="1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hidden="1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hidden="1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hidden="1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hidden="1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hidden="1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hidden="1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4.2699999999999996</v>
      </c>
    </row>
    <row r="268" spans="1:8" hidden="1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4.6399999999999997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5.74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6.57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8.4499999999999993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12.58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hidden="1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hidden="1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hidden="1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hidden="1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hidden="1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hidden="1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hidden="1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hidden="1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hidden="1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hidden="1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hidden="1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hidden="1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85</v>
      </c>
      <c r="G325" t="s">
        <v>128</v>
      </c>
      <c r="H325" s="2">
        <v>5.74</v>
      </c>
    </row>
    <row r="326" spans="1:8" hidden="1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hidden="1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hidden="1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hidden="1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90</v>
      </c>
      <c r="G331" t="s">
        <v>119</v>
      </c>
      <c r="H331" s="2">
        <v>6.41</v>
      </c>
    </row>
    <row r="332" spans="1:8" hidden="1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80</v>
      </c>
      <c r="G332" t="s">
        <v>131</v>
      </c>
      <c r="H332" s="2">
        <v>7.92</v>
      </c>
    </row>
    <row r="333" spans="1:8" hidden="1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70</v>
      </c>
      <c r="G333" t="s">
        <v>146</v>
      </c>
      <c r="H333" s="2">
        <v>9.3699999999999992</v>
      </c>
    </row>
    <row r="334" spans="1:8" hidden="1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60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hidden="1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35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hidden="1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hidden="1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hidden="1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hidden="1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hidden="1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hidden="1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  <row r="375" spans="1:8" x14ac:dyDescent="0.25">
      <c r="A375" s="7">
        <v>1644</v>
      </c>
      <c r="B375" s="7" t="s">
        <v>370</v>
      </c>
      <c r="C375" s="7" t="s">
        <v>371</v>
      </c>
      <c r="D375" s="7" t="s">
        <v>372</v>
      </c>
      <c r="E375" s="1" t="s">
        <v>373</v>
      </c>
      <c r="F375" t="s">
        <v>4</v>
      </c>
      <c r="H375" s="34">
        <v>3.9528000000000003</v>
      </c>
    </row>
    <row r="376" spans="1:8" ht="15.75" thickBot="1" x14ac:dyDescent="0.3">
      <c r="A376" s="7">
        <v>1589</v>
      </c>
      <c r="B376" s="7" t="s">
        <v>370</v>
      </c>
      <c r="C376" s="7" t="s">
        <v>374</v>
      </c>
      <c r="D376" s="7" t="s">
        <v>372</v>
      </c>
      <c r="E376" s="1" t="s">
        <v>375</v>
      </c>
      <c r="F376" t="s">
        <v>4</v>
      </c>
      <c r="H376" s="37">
        <v>4.2876000000000003</v>
      </c>
    </row>
    <row r="377" spans="1:8" ht="15.75" thickBot="1" x14ac:dyDescent="0.3">
      <c r="A377" s="7">
        <v>1590</v>
      </c>
      <c r="B377" s="7" t="s">
        <v>370</v>
      </c>
      <c r="C377" s="7" t="s">
        <v>376</v>
      </c>
      <c r="D377" s="7" t="s">
        <v>372</v>
      </c>
      <c r="E377" s="1" t="s">
        <v>375</v>
      </c>
      <c r="F377" t="s">
        <v>4</v>
      </c>
      <c r="H377" s="38">
        <v>5.3028000000000004</v>
      </c>
    </row>
    <row r="378" spans="1:8" ht="15.75" thickBot="1" x14ac:dyDescent="0.3">
      <c r="A378" s="7">
        <v>1592</v>
      </c>
      <c r="B378" s="7" t="s">
        <v>370</v>
      </c>
      <c r="C378" s="7" t="s">
        <v>377</v>
      </c>
      <c r="D378" s="7" t="s">
        <v>372</v>
      </c>
      <c r="E378" s="1" t="s">
        <v>378</v>
      </c>
      <c r="F378" t="s">
        <v>4</v>
      </c>
      <c r="H378" s="38">
        <v>6.0804</v>
      </c>
    </row>
    <row r="379" spans="1:8" ht="15.75" thickBot="1" x14ac:dyDescent="0.3">
      <c r="A379" s="7">
        <v>1593</v>
      </c>
      <c r="B379" s="7" t="s">
        <v>370</v>
      </c>
      <c r="C379" s="7" t="s">
        <v>379</v>
      </c>
      <c r="D379" s="7" t="s">
        <v>372</v>
      </c>
      <c r="E379" s="1" t="s">
        <v>380</v>
      </c>
      <c r="F379" t="s">
        <v>4</v>
      </c>
      <c r="H379" s="38">
        <v>7.83</v>
      </c>
    </row>
    <row r="380" spans="1:8" ht="15.75" thickBot="1" x14ac:dyDescent="0.3">
      <c r="A380" s="7">
        <v>1594</v>
      </c>
      <c r="B380" s="7" t="s">
        <v>370</v>
      </c>
      <c r="C380" s="7" t="s">
        <v>381</v>
      </c>
      <c r="D380" s="7" t="s">
        <v>372</v>
      </c>
      <c r="E380" s="1" t="s">
        <v>382</v>
      </c>
      <c r="F380" t="s">
        <v>4</v>
      </c>
      <c r="H380" s="38">
        <v>11.5992</v>
      </c>
    </row>
    <row r="381" spans="1:8" x14ac:dyDescent="0.25">
      <c r="A381" s="7">
        <v>1973</v>
      </c>
      <c r="B381" s="7" t="s">
        <v>370</v>
      </c>
      <c r="C381" s="7" t="s">
        <v>383</v>
      </c>
      <c r="D381" s="7" t="s">
        <v>372</v>
      </c>
      <c r="E381" s="1" t="s">
        <v>384</v>
      </c>
      <c r="F381" t="s">
        <v>4</v>
      </c>
      <c r="H381" s="33">
        <v>5.3567999999999998</v>
      </c>
    </row>
    <row r="382" spans="1:8" ht="15.75" thickBot="1" x14ac:dyDescent="0.3">
      <c r="A382" s="7">
        <v>1595</v>
      </c>
      <c r="B382" s="7" t="s">
        <v>370</v>
      </c>
      <c r="C382" s="7" t="s">
        <v>385</v>
      </c>
      <c r="D382" s="7" t="s">
        <v>372</v>
      </c>
      <c r="E382" s="1" t="s">
        <v>386</v>
      </c>
      <c r="F382" t="s">
        <v>4</v>
      </c>
      <c r="H382" s="38">
        <v>5.8103999999999996</v>
      </c>
    </row>
    <row r="383" spans="1:8" ht="15.75" thickBot="1" x14ac:dyDescent="0.3">
      <c r="A383" s="7">
        <v>1596</v>
      </c>
      <c r="B383" s="7" t="s">
        <v>370</v>
      </c>
      <c r="C383" s="7" t="s">
        <v>387</v>
      </c>
      <c r="D383" s="7" t="s">
        <v>372</v>
      </c>
      <c r="E383" s="1" t="s">
        <v>378</v>
      </c>
      <c r="F383" t="s">
        <v>4</v>
      </c>
      <c r="H383" s="38">
        <v>7.3224</v>
      </c>
    </row>
    <row r="384" spans="1:8" ht="15.75" thickBot="1" x14ac:dyDescent="0.3">
      <c r="A384" s="7">
        <v>1597</v>
      </c>
      <c r="B384" s="7" t="s">
        <v>370</v>
      </c>
      <c r="C384" s="7" t="s">
        <v>388</v>
      </c>
      <c r="D384" s="7" t="s">
        <v>372</v>
      </c>
      <c r="E384" s="1" t="s">
        <v>389</v>
      </c>
      <c r="F384" t="s">
        <v>4</v>
      </c>
      <c r="H384" s="38">
        <v>8.5752000000000006</v>
      </c>
    </row>
    <row r="385" spans="1:8" ht="15.75" thickBot="1" x14ac:dyDescent="0.3">
      <c r="A385" s="7">
        <v>1598</v>
      </c>
      <c r="B385" s="7" t="s">
        <v>370</v>
      </c>
      <c r="C385" s="7" t="s">
        <v>390</v>
      </c>
      <c r="D385" s="7" t="s">
        <v>372</v>
      </c>
      <c r="E385" s="1" t="s">
        <v>391</v>
      </c>
      <c r="F385" t="s">
        <v>4</v>
      </c>
      <c r="H385" s="39">
        <v>11.124000000000001</v>
      </c>
    </row>
    <row r="386" spans="1:8" ht="15.75" thickBot="1" x14ac:dyDescent="0.3">
      <c r="A386" s="7">
        <v>1599</v>
      </c>
      <c r="B386" s="7" t="s">
        <v>370</v>
      </c>
      <c r="C386" s="7" t="s">
        <v>392</v>
      </c>
      <c r="D386" s="7" t="s">
        <v>372</v>
      </c>
      <c r="E386" s="1" t="s">
        <v>393</v>
      </c>
      <c r="F386" t="s">
        <v>4</v>
      </c>
      <c r="H386" s="37">
        <v>15.9192</v>
      </c>
    </row>
    <row r="387" spans="1:8" ht="15.75" thickBot="1" x14ac:dyDescent="0.3">
      <c r="A387" s="7">
        <v>1616</v>
      </c>
      <c r="B387" s="7" t="s">
        <v>394</v>
      </c>
      <c r="C387" s="7" t="s">
        <v>374</v>
      </c>
      <c r="D387" s="7" t="s">
        <v>372</v>
      </c>
      <c r="E387" s="1" t="s">
        <v>375</v>
      </c>
      <c r="F387" t="s">
        <v>4</v>
      </c>
      <c r="H387" s="38">
        <v>4.1580000000000004</v>
      </c>
    </row>
    <row r="388" spans="1:8" ht="15.75" thickBot="1" x14ac:dyDescent="0.3">
      <c r="A388" s="7">
        <v>1617</v>
      </c>
      <c r="B388" s="7" t="s">
        <v>394</v>
      </c>
      <c r="C388" s="7" t="s">
        <v>376</v>
      </c>
      <c r="D388" s="7" t="s">
        <v>372</v>
      </c>
      <c r="E388" s="1" t="s">
        <v>395</v>
      </c>
      <c r="F388" t="s">
        <v>4</v>
      </c>
      <c r="H388" s="38">
        <v>5.1407999999999996</v>
      </c>
    </row>
    <row r="389" spans="1:8" ht="15.75" thickBot="1" x14ac:dyDescent="0.3">
      <c r="A389" s="7">
        <v>1618</v>
      </c>
      <c r="B389" s="7" t="s">
        <v>394</v>
      </c>
      <c r="C389" s="7" t="s">
        <v>377</v>
      </c>
      <c r="D389" s="7" t="s">
        <v>372</v>
      </c>
      <c r="E389" s="1" t="s">
        <v>380</v>
      </c>
      <c r="F389" t="s">
        <v>4</v>
      </c>
      <c r="H389" s="38">
        <v>5.9075999999999995</v>
      </c>
    </row>
    <row r="390" spans="1:8" ht="15.75" thickBot="1" x14ac:dyDescent="0.3">
      <c r="A390" s="7">
        <v>1619</v>
      </c>
      <c r="B390" s="7" t="s">
        <v>394</v>
      </c>
      <c r="C390" s="7" t="s">
        <v>379</v>
      </c>
      <c r="D390" s="7" t="s">
        <v>372</v>
      </c>
      <c r="E390" s="1" t="s">
        <v>396</v>
      </c>
      <c r="F390" t="s">
        <v>4</v>
      </c>
      <c r="H390" s="38">
        <v>7.5924000000000005</v>
      </c>
    </row>
    <row r="391" spans="1:8" ht="15.75" thickBot="1" x14ac:dyDescent="0.3">
      <c r="A391" s="7">
        <v>1620</v>
      </c>
      <c r="B391" s="7" t="s">
        <v>394</v>
      </c>
      <c r="C391" s="7" t="s">
        <v>381</v>
      </c>
      <c r="D391" s="7" t="s">
        <v>372</v>
      </c>
      <c r="E391" s="1" t="s">
        <v>397</v>
      </c>
      <c r="F391" t="s">
        <v>4</v>
      </c>
      <c r="H391" s="38">
        <v>11.2536</v>
      </c>
    </row>
    <row r="392" spans="1:8" ht="15.75" thickBot="1" x14ac:dyDescent="0.3">
      <c r="A392" s="7">
        <v>1611</v>
      </c>
      <c r="B392" s="7" t="s">
        <v>394</v>
      </c>
      <c r="C392" s="7" t="s">
        <v>385</v>
      </c>
      <c r="D392" s="7" t="s">
        <v>372</v>
      </c>
      <c r="E392" s="1" t="s">
        <v>398</v>
      </c>
      <c r="F392" t="s">
        <v>4</v>
      </c>
      <c r="H392" s="38">
        <v>5.6268000000000002</v>
      </c>
    </row>
    <row r="393" spans="1:8" ht="15.75" thickBot="1" x14ac:dyDescent="0.3">
      <c r="A393" s="7">
        <v>1612</v>
      </c>
      <c r="B393" s="7" t="s">
        <v>394</v>
      </c>
      <c r="C393" s="7" t="s">
        <v>387</v>
      </c>
      <c r="D393" s="7" t="s">
        <v>372</v>
      </c>
      <c r="E393" s="1" t="s">
        <v>380</v>
      </c>
      <c r="F393" t="s">
        <v>4</v>
      </c>
      <c r="H393" s="38">
        <v>7.1063999999999998</v>
      </c>
    </row>
    <row r="394" spans="1:8" ht="15.75" thickBot="1" x14ac:dyDescent="0.3">
      <c r="A394" s="7">
        <v>1613</v>
      </c>
      <c r="B394" s="7" t="s">
        <v>394</v>
      </c>
      <c r="C394" s="7" t="s">
        <v>388</v>
      </c>
      <c r="D394" s="7" t="s">
        <v>372</v>
      </c>
      <c r="E394" s="1" t="s">
        <v>391</v>
      </c>
      <c r="F394" t="s">
        <v>4</v>
      </c>
      <c r="H394" s="38">
        <v>8.3160000000000007</v>
      </c>
    </row>
    <row r="395" spans="1:8" ht="15.75" thickBot="1" x14ac:dyDescent="0.3">
      <c r="A395" s="7">
        <v>1614</v>
      </c>
      <c r="B395" s="7" t="s">
        <v>394</v>
      </c>
      <c r="C395" s="7" t="s">
        <v>390</v>
      </c>
      <c r="D395" s="7" t="s">
        <v>372</v>
      </c>
      <c r="E395" s="1" t="s">
        <v>399</v>
      </c>
      <c r="F395" t="s">
        <v>4</v>
      </c>
      <c r="H395" s="39">
        <v>10.789200000000001</v>
      </c>
    </row>
    <row r="396" spans="1:8" x14ac:dyDescent="0.25">
      <c r="A396" s="40">
        <v>1615</v>
      </c>
      <c r="B396" s="40" t="s">
        <v>394</v>
      </c>
      <c r="C396" s="40" t="s">
        <v>392</v>
      </c>
      <c r="D396" s="40" t="s">
        <v>372</v>
      </c>
      <c r="E396" s="41" t="s">
        <v>400</v>
      </c>
      <c r="F396" s="42" t="s">
        <v>4</v>
      </c>
      <c r="G396" s="42"/>
      <c r="H396" s="43">
        <v>15.444000000000001</v>
      </c>
    </row>
    <row r="397" spans="1:8" ht="15.75" thickBot="1" x14ac:dyDescent="0.3">
      <c r="A397" s="7">
        <v>1787</v>
      </c>
      <c r="B397" s="7" t="s">
        <v>370</v>
      </c>
      <c r="C397" s="7" t="s">
        <v>371</v>
      </c>
      <c r="D397" s="7" t="s">
        <v>372</v>
      </c>
      <c r="E397" s="1" t="s">
        <v>373</v>
      </c>
      <c r="F397" t="s">
        <v>417</v>
      </c>
      <c r="H397" s="44">
        <v>4.6115999999999993</v>
      </c>
    </row>
    <row r="398" spans="1:8" ht="15.75" thickBot="1" x14ac:dyDescent="0.3">
      <c r="A398" s="7">
        <v>1656</v>
      </c>
      <c r="B398" s="7" t="s">
        <v>370</v>
      </c>
      <c r="C398" s="7" t="s">
        <v>374</v>
      </c>
      <c r="D398" s="7" t="s">
        <v>372</v>
      </c>
      <c r="E398" s="1" t="s">
        <v>375</v>
      </c>
      <c r="F398" t="s">
        <v>417</v>
      </c>
      <c r="H398" s="44">
        <v>5.0111999999999997</v>
      </c>
    </row>
    <row r="399" spans="1:8" ht="15.75" thickBot="1" x14ac:dyDescent="0.3">
      <c r="A399" s="7">
        <v>1657</v>
      </c>
      <c r="B399" s="7" t="s">
        <v>370</v>
      </c>
      <c r="C399" s="7" t="s">
        <v>376</v>
      </c>
      <c r="D399" s="7" t="s">
        <v>372</v>
      </c>
      <c r="E399" s="1" t="s">
        <v>422</v>
      </c>
      <c r="F399" t="s">
        <v>417</v>
      </c>
      <c r="H399" s="45">
        <v>6.1992000000000003</v>
      </c>
    </row>
    <row r="400" spans="1:8" ht="15.75" thickBot="1" x14ac:dyDescent="0.3">
      <c r="A400" s="7">
        <v>1658</v>
      </c>
      <c r="B400" s="7" t="s">
        <v>370</v>
      </c>
      <c r="C400" s="7" t="s">
        <v>377</v>
      </c>
      <c r="D400" s="7" t="s">
        <v>372</v>
      </c>
      <c r="E400" s="1" t="s">
        <v>423</v>
      </c>
      <c r="F400" t="s">
        <v>417</v>
      </c>
      <c r="H400" s="45">
        <v>7.0956000000000001</v>
      </c>
    </row>
    <row r="401" spans="1:8" ht="15.75" thickBot="1" x14ac:dyDescent="0.3">
      <c r="A401" s="7">
        <v>1659</v>
      </c>
      <c r="B401" s="7" t="s">
        <v>370</v>
      </c>
      <c r="C401" s="7" t="s">
        <v>379</v>
      </c>
      <c r="D401" s="7" t="s">
        <v>372</v>
      </c>
      <c r="E401" s="1" t="s">
        <v>380</v>
      </c>
      <c r="F401" t="s">
        <v>417</v>
      </c>
      <c r="H401" s="45">
        <v>9.1259999999999994</v>
      </c>
    </row>
    <row r="402" spans="1:8" ht="15.75" thickBot="1" x14ac:dyDescent="0.3">
      <c r="A402" s="7">
        <v>1660</v>
      </c>
      <c r="B402" s="7" t="s">
        <v>370</v>
      </c>
      <c r="C402" s="7" t="s">
        <v>381</v>
      </c>
      <c r="D402" s="7" t="s">
        <v>372</v>
      </c>
      <c r="E402" s="1" t="s">
        <v>424</v>
      </c>
      <c r="F402" t="s">
        <v>417</v>
      </c>
      <c r="H402" s="45">
        <v>13.586399999999999</v>
      </c>
    </row>
    <row r="403" spans="1:8" ht="15.75" thickBot="1" x14ac:dyDescent="0.3">
      <c r="A403" s="7">
        <v>1974</v>
      </c>
      <c r="B403" s="7" t="s">
        <v>370</v>
      </c>
      <c r="C403" s="7" t="s">
        <v>383</v>
      </c>
      <c r="D403" s="7" t="s">
        <v>372</v>
      </c>
      <c r="E403" s="1" t="s">
        <v>425</v>
      </c>
      <c r="F403" t="s">
        <v>417</v>
      </c>
      <c r="H403" s="45">
        <v>6.3720000000000008</v>
      </c>
    </row>
    <row r="404" spans="1:8" ht="15.75" thickBot="1" x14ac:dyDescent="0.3">
      <c r="A404" s="7">
        <v>1661</v>
      </c>
      <c r="B404" s="7" t="s">
        <v>370</v>
      </c>
      <c r="C404" s="7" t="s">
        <v>385</v>
      </c>
      <c r="D404" s="7" t="s">
        <v>372</v>
      </c>
      <c r="E404" s="1" t="s">
        <v>378</v>
      </c>
      <c r="F404" t="s">
        <v>417</v>
      </c>
      <c r="H404" s="45">
        <v>6.9228000000000005</v>
      </c>
    </row>
    <row r="405" spans="1:8" ht="15.75" thickBot="1" x14ac:dyDescent="0.3">
      <c r="A405" s="7">
        <v>1662</v>
      </c>
      <c r="B405" s="7" t="s">
        <v>370</v>
      </c>
      <c r="C405" s="7" t="s">
        <v>387</v>
      </c>
      <c r="D405" s="7" t="s">
        <v>372</v>
      </c>
      <c r="E405" s="1" t="s">
        <v>423</v>
      </c>
      <c r="F405" t="s">
        <v>417</v>
      </c>
      <c r="H405" s="45">
        <v>8.5535999999999994</v>
      </c>
    </row>
    <row r="406" spans="1:8" ht="15.75" thickBot="1" x14ac:dyDescent="0.3">
      <c r="A406" s="7">
        <v>1663</v>
      </c>
      <c r="B406" s="7" t="s">
        <v>370</v>
      </c>
      <c r="C406" s="7" t="s">
        <v>388</v>
      </c>
      <c r="D406" s="7" t="s">
        <v>372</v>
      </c>
      <c r="E406" s="1" t="s">
        <v>380</v>
      </c>
      <c r="F406" t="s">
        <v>417</v>
      </c>
      <c r="H406" s="45">
        <v>10.119599999999998</v>
      </c>
    </row>
    <row r="407" spans="1:8" ht="15.75" thickBot="1" x14ac:dyDescent="0.3">
      <c r="A407" s="7">
        <v>1664</v>
      </c>
      <c r="B407" s="7" t="s">
        <v>370</v>
      </c>
      <c r="C407" s="7" t="s">
        <v>390</v>
      </c>
      <c r="D407" s="7" t="s">
        <v>372</v>
      </c>
      <c r="E407" s="1" t="s">
        <v>391</v>
      </c>
      <c r="F407" t="s">
        <v>417</v>
      </c>
      <c r="H407" s="45">
        <v>12.9924</v>
      </c>
    </row>
    <row r="408" spans="1:8" x14ac:dyDescent="0.25">
      <c r="A408" s="7">
        <v>1665</v>
      </c>
      <c r="B408" s="7" t="s">
        <v>370</v>
      </c>
      <c r="C408" s="7" t="s">
        <v>392</v>
      </c>
      <c r="D408" s="7" t="s">
        <v>372</v>
      </c>
      <c r="E408" s="1" t="s">
        <v>426</v>
      </c>
      <c r="F408" t="s">
        <v>417</v>
      </c>
      <c r="H408" s="46">
        <v>18.7272</v>
      </c>
    </row>
    <row r="409" spans="1:8" ht="15.75" thickBot="1" x14ac:dyDescent="0.3">
      <c r="A409" s="7">
        <v>1963</v>
      </c>
      <c r="B409" s="7" t="s">
        <v>394</v>
      </c>
      <c r="C409" s="7" t="s">
        <v>374</v>
      </c>
      <c r="D409" s="7" t="s">
        <v>372</v>
      </c>
      <c r="E409" s="1" t="s">
        <v>386</v>
      </c>
      <c r="F409" t="s">
        <v>417</v>
      </c>
      <c r="H409" s="44">
        <v>4.8600000000000003</v>
      </c>
    </row>
    <row r="410" spans="1:8" ht="15.75" thickBot="1" x14ac:dyDescent="0.3">
      <c r="A410" s="7">
        <v>1964</v>
      </c>
      <c r="B410" s="7" t="s">
        <v>394</v>
      </c>
      <c r="C410" s="7" t="s">
        <v>376</v>
      </c>
      <c r="D410" s="7" t="s">
        <v>372</v>
      </c>
      <c r="E410" s="1" t="s">
        <v>378</v>
      </c>
      <c r="F410" t="s">
        <v>417</v>
      </c>
      <c r="H410" s="45">
        <v>6.0156000000000001</v>
      </c>
    </row>
    <row r="411" spans="1:8" ht="15.75" thickBot="1" x14ac:dyDescent="0.3">
      <c r="A411" s="7">
        <v>1965</v>
      </c>
      <c r="B411" s="7" t="s">
        <v>394</v>
      </c>
      <c r="C411" s="7" t="s">
        <v>377</v>
      </c>
      <c r="D411" s="7" t="s">
        <v>372</v>
      </c>
      <c r="E411" s="1" t="s">
        <v>427</v>
      </c>
      <c r="F411" t="s">
        <v>417</v>
      </c>
      <c r="H411" s="45">
        <v>6.8903999999999996</v>
      </c>
    </row>
    <row r="412" spans="1:8" ht="15.75" thickBot="1" x14ac:dyDescent="0.3">
      <c r="A412" s="7">
        <v>1966</v>
      </c>
      <c r="B412" s="7" t="s">
        <v>394</v>
      </c>
      <c r="C412" s="7" t="s">
        <v>379</v>
      </c>
      <c r="D412" s="7" t="s">
        <v>372</v>
      </c>
      <c r="E412" s="1" t="s">
        <v>428</v>
      </c>
      <c r="F412" t="s">
        <v>417</v>
      </c>
      <c r="H412" s="45">
        <v>8.8452000000000002</v>
      </c>
    </row>
    <row r="413" spans="1:8" ht="15.75" thickBot="1" x14ac:dyDescent="0.3">
      <c r="A413" s="7">
        <v>1967</v>
      </c>
      <c r="B413" s="7" t="s">
        <v>394</v>
      </c>
      <c r="C413" s="7" t="s">
        <v>381</v>
      </c>
      <c r="D413" s="7" t="s">
        <v>372</v>
      </c>
      <c r="E413" s="1" t="s">
        <v>429</v>
      </c>
      <c r="F413" t="s">
        <v>417</v>
      </c>
      <c r="H413" s="45">
        <v>13.186800000000002</v>
      </c>
    </row>
    <row r="414" spans="1:8" ht="15.75" thickBot="1" x14ac:dyDescent="0.3">
      <c r="A414" s="7">
        <v>1968</v>
      </c>
      <c r="B414" s="7" t="s">
        <v>394</v>
      </c>
      <c r="C414" s="7" t="s">
        <v>385</v>
      </c>
      <c r="D414" s="7" t="s">
        <v>372</v>
      </c>
      <c r="E414" s="1" t="s">
        <v>430</v>
      </c>
      <c r="F414" t="s">
        <v>417</v>
      </c>
      <c r="H414" s="45">
        <v>6.7284000000000006</v>
      </c>
    </row>
    <row r="415" spans="1:8" ht="15.75" thickBot="1" x14ac:dyDescent="0.3">
      <c r="A415" s="7">
        <v>1969</v>
      </c>
      <c r="B415" s="7" t="s">
        <v>394</v>
      </c>
      <c r="C415" s="7" t="s">
        <v>387</v>
      </c>
      <c r="D415" s="7" t="s">
        <v>372</v>
      </c>
      <c r="E415" s="1" t="s">
        <v>391</v>
      </c>
      <c r="F415" t="s">
        <v>417</v>
      </c>
      <c r="H415" s="45">
        <v>8.2835999999999999</v>
      </c>
    </row>
    <row r="416" spans="1:8" ht="15.75" thickBot="1" x14ac:dyDescent="0.3">
      <c r="A416" s="7">
        <v>1970</v>
      </c>
      <c r="B416" s="7" t="s">
        <v>394</v>
      </c>
      <c r="C416" s="7" t="s">
        <v>388</v>
      </c>
      <c r="D416" s="7" t="s">
        <v>372</v>
      </c>
      <c r="E416" s="1" t="s">
        <v>428</v>
      </c>
      <c r="F416" t="s">
        <v>417</v>
      </c>
      <c r="H416" s="45">
        <v>9.8064</v>
      </c>
    </row>
    <row r="417" spans="1:8" ht="15.75" thickBot="1" x14ac:dyDescent="0.3">
      <c r="A417" s="7">
        <v>1971</v>
      </c>
      <c r="B417" s="7" t="s">
        <v>394</v>
      </c>
      <c r="C417" s="7" t="s">
        <v>390</v>
      </c>
      <c r="D417" s="7" t="s">
        <v>372</v>
      </c>
      <c r="E417" s="1" t="s">
        <v>431</v>
      </c>
      <c r="F417" t="s">
        <v>417</v>
      </c>
      <c r="H417" s="45">
        <v>12.6036</v>
      </c>
    </row>
    <row r="418" spans="1:8" x14ac:dyDescent="0.25">
      <c r="A418" s="40">
        <v>1972</v>
      </c>
      <c r="B418" s="40" t="s">
        <v>394</v>
      </c>
      <c r="C418" s="40" t="s">
        <v>392</v>
      </c>
      <c r="D418" s="40" t="s">
        <v>372</v>
      </c>
      <c r="E418" s="41" t="s">
        <v>432</v>
      </c>
      <c r="F418" s="42" t="s">
        <v>417</v>
      </c>
      <c r="G418" s="42"/>
      <c r="H418" s="46">
        <v>18.176399999999997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B81" sqref="B81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ht="15.75" thickBot="1" x14ac:dyDescent="0.3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 s="24">
        <v>6.99</v>
      </c>
    </row>
    <row r="3" spans="1:8" ht="15.75" thickBot="1" x14ac:dyDescent="0.3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 s="24">
        <v>9.74</v>
      </c>
    </row>
    <row r="4" spans="1:8" ht="15.75" thickBot="1" x14ac:dyDescent="0.3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 s="24">
        <v>11.85</v>
      </c>
    </row>
    <row r="5" spans="1:8" ht="15.75" thickBot="1" x14ac:dyDescent="0.3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 s="24">
        <v>10.88</v>
      </c>
    </row>
    <row r="6" spans="1:8" ht="15.75" thickBot="1" x14ac:dyDescent="0.3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 s="24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 s="36">
        <v>14.22</v>
      </c>
    </row>
    <row r="8" spans="1:8" ht="15.75" thickBot="1" x14ac:dyDescent="0.3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24">
        <v>15.44</v>
      </c>
    </row>
    <row r="9" spans="1:8" ht="15.75" thickBot="1" x14ac:dyDescent="0.3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 s="24">
        <v>18.86</v>
      </c>
    </row>
    <row r="10" spans="1:8" ht="15.75" thickBot="1" x14ac:dyDescent="0.3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 s="24">
        <v>19.88</v>
      </c>
    </row>
    <row r="11" spans="1:8" ht="15.75" thickBot="1" x14ac:dyDescent="0.3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 s="24">
        <v>22.8</v>
      </c>
    </row>
    <row r="12" spans="1:8" ht="15.75" thickBot="1" x14ac:dyDescent="0.3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 s="24">
        <v>24.86</v>
      </c>
    </row>
    <row r="13" spans="1:8" ht="15.75" thickBot="1" x14ac:dyDescent="0.3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 s="24">
        <v>26.86</v>
      </c>
    </row>
    <row r="14" spans="1:8" ht="15.75" thickBot="1" x14ac:dyDescent="0.3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 s="29">
        <v>0.41039999999999999</v>
      </c>
    </row>
    <row r="15" spans="1:8" ht="15.75" thickBot="1" x14ac:dyDescent="0.3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 s="26">
        <v>0.43200000000000005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 s="25">
        <v>0.4536</v>
      </c>
    </row>
    <row r="17" spans="1:8" ht="15.75" thickBot="1" x14ac:dyDescent="0.3">
      <c r="A17">
        <v>1586</v>
      </c>
      <c r="B17" t="s">
        <v>364</v>
      </c>
      <c r="C17" t="s">
        <v>365</v>
      </c>
      <c r="E17">
        <v>12</v>
      </c>
      <c r="F17" t="s">
        <v>4</v>
      </c>
      <c r="H17" s="35">
        <v>49.5</v>
      </c>
    </row>
    <row r="18" spans="1:8" ht="15.75" thickBot="1" x14ac:dyDescent="0.3">
      <c r="A18">
        <v>1797</v>
      </c>
      <c r="B18" t="s">
        <v>366</v>
      </c>
      <c r="C18" t="s">
        <v>365</v>
      </c>
      <c r="E18">
        <v>12</v>
      </c>
      <c r="F18" t="s">
        <v>4</v>
      </c>
      <c r="H18" s="35">
        <v>48.5</v>
      </c>
    </row>
    <row r="19" spans="1:8" ht="15.75" thickBot="1" x14ac:dyDescent="0.3">
      <c r="A19">
        <v>1588</v>
      </c>
      <c r="B19" t="s">
        <v>367</v>
      </c>
      <c r="C19" t="s">
        <v>368</v>
      </c>
      <c r="E19">
        <v>150</v>
      </c>
      <c r="F19" t="s">
        <v>4</v>
      </c>
      <c r="H19" s="24">
        <v>5.3353999999999999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 s="23">
        <v>2.8839999999999999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 s="34">
        <v>3.9528000000000003</v>
      </c>
    </row>
    <row r="22" spans="1:8" ht="15.75" thickBot="1" x14ac:dyDescent="0.3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 s="30">
        <v>4.2876000000000003</v>
      </c>
    </row>
    <row r="23" spans="1:8" ht="15.75" thickBot="1" x14ac:dyDescent="0.3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 s="32">
        <v>5.3028000000000004</v>
      </c>
    </row>
    <row r="24" spans="1:8" ht="15.75" thickBot="1" x14ac:dyDescent="0.3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 s="32">
        <v>6.0804</v>
      </c>
    </row>
    <row r="25" spans="1:8" ht="15.75" thickBot="1" x14ac:dyDescent="0.3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 s="32">
        <v>7.83</v>
      </c>
    </row>
    <row r="26" spans="1:8" ht="15.75" thickBot="1" x14ac:dyDescent="0.3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 s="32">
        <v>11.5992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 s="33">
        <v>5.3567999999999998</v>
      </c>
    </row>
    <row r="28" spans="1:8" ht="15.75" thickBot="1" x14ac:dyDescent="0.3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 s="32">
        <v>5.8103999999999996</v>
      </c>
    </row>
    <row r="29" spans="1:8" ht="15.75" thickBot="1" x14ac:dyDescent="0.3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 s="32">
        <v>7.3224</v>
      </c>
    </row>
    <row r="30" spans="1:8" ht="15.75" thickBot="1" x14ac:dyDescent="0.3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 s="32">
        <v>8.5752000000000006</v>
      </c>
    </row>
    <row r="31" spans="1:8" ht="15.75" thickBot="1" x14ac:dyDescent="0.3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 s="31">
        <v>11.124000000000001</v>
      </c>
    </row>
    <row r="32" spans="1:8" ht="15.75" thickBot="1" x14ac:dyDescent="0.3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 s="30">
        <v>15.9192</v>
      </c>
    </row>
    <row r="33" spans="1:8" ht="15.75" thickBot="1" x14ac:dyDescent="0.3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 s="32">
        <v>4.1580000000000004</v>
      </c>
    </row>
    <row r="34" spans="1:8" ht="15.75" thickBot="1" x14ac:dyDescent="0.3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 s="32">
        <v>5.1407999999999996</v>
      </c>
    </row>
    <row r="35" spans="1:8" ht="15.75" thickBot="1" x14ac:dyDescent="0.3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 s="32">
        <v>5.9075999999999995</v>
      </c>
    </row>
    <row r="36" spans="1:8" ht="15.75" thickBot="1" x14ac:dyDescent="0.3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 s="32">
        <v>7.5924000000000005</v>
      </c>
    </row>
    <row r="37" spans="1:8" ht="15.75" thickBot="1" x14ac:dyDescent="0.3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 s="32">
        <v>11.2536</v>
      </c>
    </row>
    <row r="38" spans="1:8" ht="15.75" thickBot="1" x14ac:dyDescent="0.3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 s="32">
        <v>5.6268000000000002</v>
      </c>
    </row>
    <row r="39" spans="1:8" ht="15.75" thickBot="1" x14ac:dyDescent="0.3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 s="32">
        <v>7.1063999999999998</v>
      </c>
    </row>
    <row r="40" spans="1:8" ht="15.75" thickBot="1" x14ac:dyDescent="0.3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 s="32">
        <v>8.3160000000000007</v>
      </c>
    </row>
    <row r="41" spans="1:8" ht="15.75" thickBot="1" x14ac:dyDescent="0.3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 s="31">
        <v>10.789200000000001</v>
      </c>
    </row>
    <row r="42" spans="1:8" ht="15.75" thickBot="1" x14ac:dyDescent="0.3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 s="30">
        <v>15.444000000000001</v>
      </c>
    </row>
    <row r="43" spans="1:8" ht="15.75" thickBot="1" x14ac:dyDescent="0.3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 s="24">
        <v>14.46</v>
      </c>
    </row>
    <row r="44" spans="1:8" ht="15.75" thickBot="1" x14ac:dyDescent="0.3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 s="2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 s="23">
        <v>19.22</v>
      </c>
    </row>
    <row r="46" spans="1:8" ht="15.75" thickBot="1" x14ac:dyDescent="0.3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 s="24">
        <v>29.67</v>
      </c>
    </row>
    <row r="47" spans="1:8" ht="15.75" thickBot="1" x14ac:dyDescent="0.3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 s="24">
        <v>30.58</v>
      </c>
    </row>
    <row r="48" spans="1:8" ht="15.75" thickBot="1" x14ac:dyDescent="0.3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 s="24">
        <v>32.94</v>
      </c>
    </row>
    <row r="49" spans="1:8" ht="15.75" thickBot="1" x14ac:dyDescent="0.3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 s="29">
        <v>0.47520000000000001</v>
      </c>
    </row>
    <row r="50" spans="1:8" ht="15.75" thickBot="1" x14ac:dyDescent="0.3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 s="26">
        <v>0.50759999999999994</v>
      </c>
    </row>
    <row r="51" spans="1:8" ht="15.75" thickBot="1" x14ac:dyDescent="0.3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 s="26">
        <v>0.5292</v>
      </c>
    </row>
    <row r="52" spans="1:8" ht="15.75" thickBot="1" x14ac:dyDescent="0.3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 s="28">
        <v>71</v>
      </c>
    </row>
    <row r="53" spans="1:8" ht="15.75" thickBot="1" x14ac:dyDescent="0.3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 s="27">
        <v>7.1894</v>
      </c>
    </row>
    <row r="54" spans="1:8" ht="15.75" thickBot="1" x14ac:dyDescent="0.3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 s="24">
        <v>27.88</v>
      </c>
    </row>
    <row r="55" spans="1:8" ht="15.75" thickBot="1" x14ac:dyDescent="0.3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 s="24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 s="23">
        <v>30.77</v>
      </c>
    </row>
    <row r="57" spans="1:8" ht="15.75" thickBot="1" x14ac:dyDescent="0.3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 s="24">
        <v>94.88</v>
      </c>
    </row>
    <row r="58" spans="1:8" ht="15.75" thickBot="1" x14ac:dyDescent="0.3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 s="24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 s="23">
        <v>107.44</v>
      </c>
    </row>
    <row r="60" spans="1:8" ht="15.75" thickBot="1" x14ac:dyDescent="0.3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 s="26">
        <v>0.64800000000000002</v>
      </c>
    </row>
    <row r="61" spans="1:8" ht="15.75" thickBot="1" x14ac:dyDescent="0.3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 s="26">
        <v>0.66959999999999997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 s="25">
        <v>0.70200000000000007</v>
      </c>
    </row>
    <row r="63" spans="1:8" ht="15.75" thickBot="1" x14ac:dyDescent="0.3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 s="24">
        <v>86.5</v>
      </c>
    </row>
    <row r="64" spans="1:8" ht="15.75" thickBot="1" x14ac:dyDescent="0.3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 s="24">
        <v>8.1988000000000003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 s="23">
        <v>4.4084000000000003</v>
      </c>
    </row>
    <row r="66" spans="1:8" ht="15.75" thickBot="1" x14ac:dyDescent="0.3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 s="21">
        <v>4.6115999999999993</v>
      </c>
    </row>
    <row r="67" spans="1:8" ht="15.75" thickBot="1" x14ac:dyDescent="0.3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 s="21">
        <v>5.0111999999999997</v>
      </c>
    </row>
    <row r="68" spans="1:8" ht="15.75" thickBot="1" x14ac:dyDescent="0.3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 s="20">
        <v>6.1992000000000003</v>
      </c>
    </row>
    <row r="69" spans="1:8" ht="15.75" thickBot="1" x14ac:dyDescent="0.3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 s="20">
        <v>7.0956000000000001</v>
      </c>
    </row>
    <row r="70" spans="1:8" ht="15.75" thickBot="1" x14ac:dyDescent="0.3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 s="20">
        <v>9.1259999999999994</v>
      </c>
    </row>
    <row r="71" spans="1:8" ht="15.75" thickBot="1" x14ac:dyDescent="0.3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 s="20">
        <v>13.586399999999999</v>
      </c>
    </row>
    <row r="72" spans="1:8" ht="15.75" thickBot="1" x14ac:dyDescent="0.3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 s="20">
        <v>6.3720000000000008</v>
      </c>
    </row>
    <row r="73" spans="1:8" ht="15.75" thickBot="1" x14ac:dyDescent="0.3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 s="20">
        <v>6.9228000000000005</v>
      </c>
    </row>
    <row r="74" spans="1:8" ht="15.75" thickBot="1" x14ac:dyDescent="0.3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 s="20">
        <v>8.5535999999999994</v>
      </c>
    </row>
    <row r="75" spans="1:8" ht="15.75" thickBot="1" x14ac:dyDescent="0.3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 s="20">
        <v>10.119599999999998</v>
      </c>
    </row>
    <row r="76" spans="1:8" ht="15.75" thickBot="1" x14ac:dyDescent="0.3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 s="20">
        <v>12.9924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 s="22">
        <v>18.7272</v>
      </c>
    </row>
    <row r="78" spans="1:8" ht="15.75" thickBot="1" x14ac:dyDescent="0.3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 s="21">
        <v>4.8600000000000003</v>
      </c>
    </row>
    <row r="79" spans="1:8" ht="15.75" thickBot="1" x14ac:dyDescent="0.3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 s="20">
        <v>6.0156000000000001</v>
      </c>
    </row>
    <row r="80" spans="1:8" ht="15.75" thickBot="1" x14ac:dyDescent="0.3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 s="20">
        <v>6.8903999999999996</v>
      </c>
    </row>
    <row r="81" spans="1:8" ht="15.75" thickBot="1" x14ac:dyDescent="0.3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 s="20">
        <v>8.8452000000000002</v>
      </c>
    </row>
    <row r="82" spans="1:8" ht="15.75" thickBot="1" x14ac:dyDescent="0.3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 s="20">
        <v>13.186800000000002</v>
      </c>
    </row>
    <row r="83" spans="1:8" ht="15.75" thickBot="1" x14ac:dyDescent="0.3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 s="20">
        <v>6.7284000000000006</v>
      </c>
    </row>
    <row r="84" spans="1:8" ht="15.75" thickBot="1" x14ac:dyDescent="0.3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 s="20">
        <v>8.2835999999999999</v>
      </c>
    </row>
    <row r="85" spans="1:8" ht="15.75" thickBot="1" x14ac:dyDescent="0.3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 s="20">
        <v>9.8064</v>
      </c>
    </row>
    <row r="86" spans="1:8" ht="15.75" thickBot="1" x14ac:dyDescent="0.3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 s="20">
        <v>12.6036</v>
      </c>
    </row>
    <row r="87" spans="1:8" ht="15.75" thickBot="1" x14ac:dyDescent="0.3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 s="20">
        <v>18.176399999999997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hidden="1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hidden="1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hidden="1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hidden="1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hidden="1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hidden="1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hidden="1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hidden="1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hidden="1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hidden="1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hidden="1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hidden="1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hidden="1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hidden="1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hidden="1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hidden="1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hidden="1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hidden="1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hidden="1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hidden="1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hidden="1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hidden="1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hidden="1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hidden="1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hidden="1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hidden="1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hidden="1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hidden="1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hidden="1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hidden="1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hidden="1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hidden="1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hidden="1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hidden="1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hidden="1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hidden="1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hidden="1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>
        <v>30</v>
      </c>
      <c r="G89" s="19">
        <f>[1]!Tabela2[[#This Row],[VOL.]]*[1]!Tabela2[[#This Row],[UNID.]]</f>
        <v>72</v>
      </c>
    </row>
    <row r="90" spans="1:7" hidden="1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hidden="1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>
        <v>30</v>
      </c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>
        <v>30</v>
      </c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>
        <v>30</v>
      </c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>
        <v>25</v>
      </c>
      <c r="G95" s="19">
        <f>[1]!Tabela2[[#This Row],[VOL.]]*[1]!Tabela2[[#This Row],[UNID.]]</f>
        <v>0</v>
      </c>
    </row>
    <row r="96" spans="1:7" hidden="1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>
        <v>25</v>
      </c>
      <c r="G97" s="19">
        <f>[1]!Tabela2[[#This Row],[VOL.]]*[1]!Tabela2[[#This Row],[UNID.]]</f>
        <v>0</v>
      </c>
    </row>
    <row r="98" spans="1:7" hidden="1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>
        <v>30</v>
      </c>
      <c r="G99" s="19">
        <f>[1]!Tabela2[[#This Row],[VOL.]]*[1]!Tabela2[[#This Row],[UNID.]]</f>
        <v>0</v>
      </c>
    </row>
    <row r="100" spans="1:7" hidden="1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>
        <v>30</v>
      </c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>
        <v>30</v>
      </c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>
        <v>30</v>
      </c>
      <c r="G103" s="19">
        <f>[1]!Tabela2[[#This Row],[VOL.]]*[1]!Tabela2[[#This Row],[UNID.]]</f>
        <v>0</v>
      </c>
    </row>
    <row r="104" spans="1:7" hidden="1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hidden="1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>
        <v>30</v>
      </c>
      <c r="G106" s="19">
        <f>[1]!Tabela2[[#This Row],[VOL.]]*[1]!Tabela2[[#This Row],[UNID.]]</f>
        <v>30</v>
      </c>
    </row>
    <row r="107" spans="1:7" hidden="1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>
        <v>25</v>
      </c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>
        <v>25</v>
      </c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hidden="1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>
        <v>36</v>
      </c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>
        <v>30</v>
      </c>
      <c r="G116" s="19">
        <f>[1]!Tabela2[[#This Row],[VOL.]]*[1]!Tabela2[[#This Row],[UNID.]]</f>
        <v>0</v>
      </c>
    </row>
    <row r="117" spans="1:7" hidden="1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hidden="1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>
        <v>30</v>
      </c>
      <c r="G119" s="19">
        <f>[1]!Tabela2[[#This Row],[VOL.]]*[1]!Tabela2[[#This Row],[UNID.]]</f>
        <v>0</v>
      </c>
    </row>
    <row r="120" spans="1:7" hidden="1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hidden="1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>
        <v>25</v>
      </c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hidden="1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hidden="1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hidden="1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hidden="1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>
        <v>20</v>
      </c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>
        <v>20</v>
      </c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>
        <v>20</v>
      </c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>
        <v>20</v>
      </c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>
        <v>20</v>
      </c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>
        <v>20</v>
      </c>
      <c r="G143" s="19">
        <f>[1]!Tabela2[[#This Row],[VOL.]]*[1]!Tabela2[[#This Row],[UNID.]]</f>
        <v>0</v>
      </c>
    </row>
    <row r="144" spans="1:7" hidden="1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>
        <v>20</v>
      </c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hidden="1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hidden="1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hidden="1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hidden="1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hidden="1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hidden="1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hidden="1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hidden="1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hidden="1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hidden="1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hidden="1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hidden="1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hidden="1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hidden="1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hidden="1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hidden="1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hidden="1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hidden="1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hidden="1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hidden="1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hidden="1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hidden="1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hidden="1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hidden="1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hidden="1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hidden="1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hidden="1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>
        <v>30</v>
      </c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>
        <v>30</v>
      </c>
      <c r="G174" s="19">
        <f>[1]!Tabela2[[#This Row],[VOL.]]*[1]!Tabela2[[#This Row],[UNID.]]</f>
        <v>0</v>
      </c>
    </row>
    <row r="175" spans="1:7" hidden="1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>
        <v>36</v>
      </c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>
        <v>20</v>
      </c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hidden="1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>
        <v>20</v>
      </c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>
        <v>20</v>
      </c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>
        <v>20</v>
      </c>
      <c r="G188" s="19">
        <f>[1]!Tabela2[[#This Row],[VOL.]]*[1]!Tabela2[[#This Row],[UNID.]]</f>
        <v>0</v>
      </c>
    </row>
    <row r="189" spans="1:7" hidden="1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 t="s">
        <v>617</v>
      </c>
      <c r="E194" s="13"/>
      <c r="F194" s="13">
        <v>1000</v>
      </c>
      <c r="G194" s="19">
        <f>[1]!Tabela2[[#This Row],[VOL.]]*[1]!Tabela2[[#This Row],[UNID.]]</f>
        <v>0</v>
      </c>
    </row>
    <row r="195" spans="1:7" hidden="1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hidden="1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hidden="1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hidden="1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hidden="1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>
        <v>50</v>
      </c>
      <c r="G200" s="19">
        <f>[1]!Tabela2[[#This Row],[VOL.]]*[1]!Tabela2[[#This Row],[UNID.]]</f>
        <v>0</v>
      </c>
    </row>
    <row r="201" spans="1:7" hidden="1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hidden="1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hidden="1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hidden="1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>
        <v>40</v>
      </c>
      <c r="G207" s="19">
        <f>[1]!Tabela2[[#This Row],[VOL.]]*[1]!Tabela2[[#This Row],[UNID.]]</f>
        <v>0</v>
      </c>
    </row>
    <row r="208" spans="1:7" hidden="1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hidden="1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>
        <v>32</v>
      </c>
      <c r="G211" s="19">
        <f>[1]!Tabela2[[#This Row],[VOL.]]*[1]!Tabela2[[#This Row],[UNID.]]</f>
        <v>0</v>
      </c>
    </row>
    <row r="212" spans="1:7" hidden="1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hidden="1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hidden="1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hidden="1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hidden="1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hidden="1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>
        <v>32</v>
      </c>
      <c r="G218" s="19">
        <f>[1]!Tabela2[[#This Row],[VOL.]]*[1]!Tabela2[[#This Row],[UNID.]]</f>
        <v>0</v>
      </c>
    </row>
    <row r="219" spans="1:7" hidden="1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hidden="1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>
        <v>32</v>
      </c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>
        <v>32</v>
      </c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>
        <v>32</v>
      </c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>
        <v>32</v>
      </c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>
        <v>32</v>
      </c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>
        <v>32</v>
      </c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>
        <v>32</v>
      </c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>
        <v>32</v>
      </c>
      <c r="G240" s="19">
        <f>[1]!Tabela2[[#This Row],[VOL.]]*[1]!Tabela2[[#This Row],[UNID.]]</f>
        <v>0</v>
      </c>
    </row>
    <row r="241" spans="1:7" hidden="1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>
        <v>32</v>
      </c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hidden="1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hidden="1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hidden="1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hidden="1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>
        <v>90</v>
      </c>
      <c r="G253" s="19">
        <f>[1]!Tabela2[[#This Row],[VOL.]]*[1]!Tabela2[[#This Row],[UNID.]]</f>
        <v>0</v>
      </c>
    </row>
    <row r="254" spans="1:7" hidden="1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hidden="1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hidden="1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>
        <v>70</v>
      </c>
      <c r="G257" s="19">
        <f>[1]!Tabela2[[#This Row],[VOL.]]*[1]!Tabela2[[#This Row],[UNID.]]</f>
        <v>0</v>
      </c>
    </row>
    <row r="258" spans="1:7" hidden="1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hidden="1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hidden="1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>
        <v>60</v>
      </c>
      <c r="G261" s="19">
        <f>[1]!Tabela2[[#This Row],[VOL.]]*[1]!Tabela2[[#This Row],[UNID.]]</f>
        <v>0</v>
      </c>
    </row>
    <row r="262" spans="1:7" hidden="1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hidden="1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hidden="1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>
        <v>35</v>
      </c>
      <c r="G265" s="19">
        <f>[1]!Tabela2[[#This Row],[VOL.]]*[1]!Tabela2[[#This Row],[UNID.]]</f>
        <v>0</v>
      </c>
    </row>
    <row r="266" spans="1:7" hidden="1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hidden="1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>
        <v>80</v>
      </c>
      <c r="G268" s="19">
        <f>[1]!Tabela2[[#This Row],[VOL.]]*[1]!Tabela2[[#This Row],[UNID.]]</f>
        <v>21150</v>
      </c>
    </row>
    <row r="269" spans="1:7" hidden="1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>
        <v>85</v>
      </c>
      <c r="G270" s="19">
        <f>[1]!Tabela2[[#This Row],[VOL.]]*[1]!Tabela2[[#This Row],[UNID.]]</f>
        <v>0</v>
      </c>
    </row>
    <row r="271" spans="1:7" hidden="1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hidden="1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hidden="1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hidden="1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hidden="1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>
        <v>110</v>
      </c>
      <c r="G276" s="19">
        <f>[1]!Tabela2[[#This Row],[VOL.]]*[1]!Tabela2[[#This Row],[UNID.]]</f>
        <v>0</v>
      </c>
    </row>
    <row r="277" spans="1:7" hidden="1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hidden="1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>
        <v>50</v>
      </c>
      <c r="G279" s="19">
        <f>[1]!Tabela2[[#This Row],[VOL.]]*[1]!Tabela2[[#This Row],[UNID.]]</f>
        <v>0</v>
      </c>
    </row>
    <row r="280" spans="1:7" hidden="1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>
        <v>90</v>
      </c>
      <c r="G281" s="19">
        <f>[1]!Tabela2[[#This Row],[VOL.]]*[1]!Tabela2[[#This Row],[UNID.]]</f>
        <v>0</v>
      </c>
    </row>
    <row r="282" spans="1:7" hidden="1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hidden="1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hidden="1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>
        <v>110</v>
      </c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>
        <v>85</v>
      </c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>
        <v>80</v>
      </c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>
        <v>70</v>
      </c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>
        <v>45</v>
      </c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>
        <v>90</v>
      </c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>
        <v>80</v>
      </c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>
        <v>70</v>
      </c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>
        <v>60</v>
      </c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>
        <v>35</v>
      </c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>
        <v>110</v>
      </c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>
        <v>110</v>
      </c>
      <c r="G296" s="19">
        <f>[1]!Tabela2[[#This Row],[VOL.]]*[1]!Tabela2[[#This Row],[UNID.]]</f>
        <v>0</v>
      </c>
    </row>
    <row r="297" spans="1:7" hidden="1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hidden="1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>
        <v>50</v>
      </c>
      <c r="G299" s="19">
        <f>[1]!Tabela2[[#This Row],[VOL.]]*[1]!Tabela2[[#This Row],[UNID.]]</f>
        <v>0</v>
      </c>
    </row>
    <row r="300" spans="1:7" hidden="1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>
        <v>90</v>
      </c>
      <c r="G301" s="19">
        <f>[1]!Tabela2[[#This Row],[VOL.]]*[1]!Tabela2[[#This Row],[UNID.]]</f>
        <v>0</v>
      </c>
    </row>
    <row r="302" spans="1:7" hidden="1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>
        <v>60</v>
      </c>
      <c r="G303" s="19">
        <f>[1]!Tabela2[[#This Row],[VOL.]]*[1]!Tabela2[[#This Row],[UNID.]]</f>
        <v>0</v>
      </c>
    </row>
    <row r="304" spans="1:7" hidden="1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>
        <v>110</v>
      </c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>
        <v>85</v>
      </c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>
        <v>80</v>
      </c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>
        <v>70</v>
      </c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>
        <v>45</v>
      </c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>
        <v>90</v>
      </c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>
        <v>80</v>
      </c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>
        <v>70</v>
      </c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>
        <v>60</v>
      </c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>
        <v>35</v>
      </c>
      <c r="G314" s="19">
        <f>[1]!Tabela2[[#This Row],[VOL.]]*[1]!Tabela2[[#This Row],[UNID.]]</f>
        <v>0</v>
      </c>
    </row>
    <row r="315" spans="1:7" hidden="1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hidden="1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>
        <v>12</v>
      </c>
      <c r="G317" s="19">
        <f>[1]!Tabela2[[#This Row],[VOL.]]*[1]!Tabela2[[#This Row],[UNID.]]</f>
        <v>900</v>
      </c>
    </row>
    <row r="318" spans="1:7" hidden="1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hidden="1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hidden="1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hidden="1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>
        <v>40</v>
      </c>
      <c r="G323" s="19">
        <f>[1]!Tabela2[[#This Row],[VOL.]]*[1]!Tabela2[[#This Row],[UNID.]]</f>
        <v>0</v>
      </c>
    </row>
    <row r="324" spans="1:7" hidden="1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>
        <v>1000</v>
      </c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>
        <v>1000</v>
      </c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>
        <v>1000</v>
      </c>
      <c r="G327" s="19">
        <f>[1]!Tabela2[[#This Row],[VOL.]]*[1]!Tabela2[[#This Row],[UNID.]]</f>
        <v>0</v>
      </c>
    </row>
    <row r="328" spans="1:7" hidden="1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50</v>
      </c>
      <c r="G329" s="19">
        <f>[1]!Tabela2[[#This Row],[VOL.]]*[1]!Tabela2[[#This Row],[UNID.]]</f>
        <v>0</v>
      </c>
    </row>
    <row r="330" spans="1:7" hidden="1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hidden="1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2026-05-12T14:14:24Z</dcterms:modified>
</cp:coreProperties>
</file>