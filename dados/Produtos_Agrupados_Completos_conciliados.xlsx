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54654794-D809-45BA-AD5C-F648611AF00B}" xr6:coauthVersionLast="47" xr6:coauthVersionMax="47" xr10:uidLastSave="{00000000-0000-0000-0000-000000000000}"/>
  <bookViews>
    <workbookView xWindow="-120" yWindow="-120" windowWidth="29040" windowHeight="15840" activeTab="1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70" i="3"/>
  <c r="F371" i="3"/>
  <c r="F372" i="3"/>
  <c r="F373" i="3"/>
  <c r="F374" i="3"/>
  <c r="F369" i="3"/>
  <c r="F36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<sst xmlns="http://schemas.openxmlformats.org/spreadsheetml/2006/main" count="3081" uniqueCount="649">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</sst>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8" fontId="6" fillId="0" borderId="2" xfId="0" applyNumberFormat="1" applyFont="1" applyBorder="1" applyAlignment="1">
      <alignment horizontal="center" vertical="center"/>
    </xf>
    <xf numFmtId="8" fontId="6" fillId="0" borderId="3" xfId="0" applyNumberFormat="1" applyFont="1" applyBorder="1" applyAlignment="1">
      <alignment horizontal="center" vertical="center"/>
    </xf>
    <xf numFmtId="8" fontId="6" fillId="0" borderId="4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center" vertical="center"/>
    </xf>
    <xf numFmtId="8" fontId="7" fillId="0" borderId="3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right" vertical="center"/>
    </xf>
    <xf numFmtId="8" fontId="7" fillId="0" borderId="3" xfId="0" applyNumberFormat="1" applyFont="1" applyBorder="1" applyAlignment="1">
      <alignment horizontal="right" vertical="center"/>
    </xf>
    <xf numFmtId="8" fontId="7" fillId="0" borderId="6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right" vertical="center"/>
    </xf>
    <xf numFmtId="8" fontId="6" fillId="0" borderId="3" xfId="0" applyNumberFormat="1" applyFont="1" applyBorder="1" applyAlignment="1">
      <alignment horizontal="center" vertical="center" wrapText="1"/>
    </xf>
    <xf numFmtId="8" fontId="6" fillId="0" borderId="8" xfId="0" applyNumberFormat="1" applyFont="1" applyBorder="1" applyAlignment="1">
      <alignment horizontal="center" vertical="center" wrapText="1"/>
    </xf>
    <xf numFmtId="8" fontId="6" fillId="0" borderId="2" xfId="0" applyNumberFormat="1" applyFont="1" applyBorder="1" applyAlignment="1">
      <alignment horizontal="center" vertical="center" wrapText="1"/>
    </xf>
    <xf numFmtId="44" fontId="7" fillId="0" borderId="9" xfId="1" applyFont="1" applyFill="1" applyBorder="1" applyAlignment="1">
      <alignment horizontal="center" vertical="center"/>
    </xf>
    <xf numFmtId="44" fontId="6" fillId="0" borderId="10" xfId="1" applyFont="1" applyFill="1" applyBorder="1" applyAlignment="1">
      <alignment horizontal="center" vertical="center"/>
    </xf>
    <xf numFmtId="44" fontId="7" fillId="0" borderId="3" xfId="1" applyFont="1" applyFill="1" applyBorder="1" applyAlignment="1">
      <alignment horizontal="center" vertical="center"/>
    </xf>
    <xf numFmtId="8" fontId="7" fillId="0" borderId="1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2" formatCode="&quot;R$&quot;\ #,##0.00;[Red]\-&quot;R$&quot;\ #,##0.00"/>
      <alignment horizontal="center" vertical="center" textRotation="0" wrapText="0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74" tableType="queryTable" totalsRowShown="0">
  <autoFilter ref="A1:H374" xr:uid="{5499586E-A189-44D8-9C58-8F69F4EC7CA4}">
    <filterColumn colId="5">
      <filters>
        <filter val="0"/>
        <filter val="#N/D"/>
      </filters>
    </filterColumn>
  </autoFilter>
  <tableColumns count="8">
    <tableColumn id="2" xr3:uid="{3202AFED-4A11-4AD5-8FCF-B57F6545F53A}" uniqueName="2" name="ID_COD" queryTableFieldId="2" dataDxfId="16"/>
    <tableColumn id="1" xr3:uid="{5387F357-AA02-4B91-B30F-AB45B122F19D}" uniqueName="1" name="Grupo" queryTableFieldId="1" dataDxfId="15"/>
    <tableColumn id="3" xr3:uid="{AF8B37DC-8D9E-415B-8540-844DCFD3C2C2}" uniqueName="3" name="Descrição" queryTableFieldId="3" dataDxfId="14"/>
    <tableColumn id="4" xr3:uid="{15BCD1FE-6E96-4337-BF2C-1D0977BEE2EA}" uniqueName="4" name="Linha" queryTableFieldId="4" dataDxfId="13"/>
    <tableColumn id="5" xr3:uid="{5AEAA593-AC57-42D0-80C6-A7ADC3170E25}" uniqueName="5" name="Gramatura" queryTableFieldId="5" dataDxfId="12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 dataDxfId="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1" headerRowBorderDxfId="10" tableBorderDxfId="9" totalsRowBorderDxfId="8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7"/>
    <tableColumn id="2" xr3:uid="{B6B5DE3B-A99A-4156-AA8B-3D83F4E34F3F}" name="DESCRIÇÃO" dataDxfId="6"/>
    <tableColumn id="3" xr3:uid="{3D38594D-4732-42D1-8F09-82A15D4753CB}" name="PESO" dataDxfId="5"/>
    <tableColumn id="4" xr3:uid="{73AD5E7C-295D-4E24-AF22-1C03AAA6FE04}" name="TIPO" dataDxfId="4"/>
    <tableColumn id="5" xr3:uid="{897DAD0D-6A3C-443B-BCC5-B43C099F2C1B}" name="VOL." dataDxfId="3"/>
    <tableColumn id="6" xr3:uid="{5A2A3043-C96F-46DD-B142-DEB2458C1999}" name="UNID." dataDxfId="2"/>
    <tableColumn id="7" xr3:uid="{9BDA27C3-1490-4741-A5E9-29B583E36E56}" name="TOTAL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74"/>
  <sheetViews>
    <sheetView workbookViewId="0">
      <pane ySplit="1" topLeftCell="A8" activePane="bottomLeft" state="frozen"/>
      <selection pane="bottomLeft" activeCell="F164" sqref="F164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10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hidden="1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v>0.38</v>
      </c>
    </row>
    <row r="3" spans="1:8" hidden="1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v>0.4</v>
      </c>
    </row>
    <row r="4" spans="1:8" hidden="1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v>0.42</v>
      </c>
    </row>
    <row r="5" spans="1:8" hidden="1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v>0.44</v>
      </c>
    </row>
    <row r="6" spans="1:8" hidden="1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v>0.47</v>
      </c>
    </row>
    <row r="7" spans="1:8" hidden="1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v>0.49</v>
      </c>
    </row>
    <row r="8" spans="1:8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1000</v>
      </c>
      <c r="G8" t="s">
        <v>253</v>
      </c>
      <c r="H8" s="2">
        <v>0.6</v>
      </c>
    </row>
    <row r="9" spans="1:8" hidden="1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1000</v>
      </c>
      <c r="G9" t="s">
        <v>257</v>
      </c>
      <c r="H9" s="2">
        <v>0.62</v>
      </c>
    </row>
    <row r="10" spans="1:8" hidden="1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v>0.65</v>
      </c>
    </row>
    <row r="11" spans="1:8" hidden="1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v>2.8</v>
      </c>
    </row>
    <row r="12" spans="1:8" hidden="1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v>5.18</v>
      </c>
    </row>
    <row r="13" spans="1:8" hidden="1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hidden="1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>
        <v>2.8</v>
      </c>
    </row>
    <row r="15" spans="1:8" hidden="1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v>6.98</v>
      </c>
    </row>
    <row r="16" spans="1:8" hidden="1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12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v>4.28</v>
      </c>
    </row>
    <row r="18" spans="1:8" hidden="1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hidden="1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hidden="1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hidden="1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hidden="1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hidden="1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hidden="1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hidden="1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hidden="1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hidden="1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hidden="1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40</v>
      </c>
      <c r="G47" t="s">
        <v>267</v>
      </c>
      <c r="H47" s="2">
        <v>29.207619047619044</v>
      </c>
    </row>
    <row r="48" spans="1:8" hidden="1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hidden="1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hidden="1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hidden="1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hidden="1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hidden="1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32</v>
      </c>
      <c r="G62" t="s">
        <v>108</v>
      </c>
      <c r="H62" s="2">
        <v>18.73076923076923</v>
      </c>
    </row>
    <row r="63" spans="1:8" hidden="1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32</v>
      </c>
      <c r="G63" t="s">
        <v>284</v>
      </c>
      <c r="H63" s="2">
        <v>16.579999999999998</v>
      </c>
    </row>
    <row r="64" spans="1:8" hidden="1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32</v>
      </c>
      <c r="G65" t="s">
        <v>286</v>
      </c>
      <c r="H65" s="2">
        <v>17.961666666666662</v>
      </c>
    </row>
    <row r="66" spans="1:8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32</v>
      </c>
      <c r="G66" t="s">
        <v>287</v>
      </c>
      <c r="H66" s="2">
        <v>18.652499999999996</v>
      </c>
    </row>
    <row r="67" spans="1:8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32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32</v>
      </c>
      <c r="G74" t="s">
        <v>284</v>
      </c>
      <c r="H74" s="2">
        <v>28.77</v>
      </c>
    </row>
    <row r="75" spans="1:8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32</v>
      </c>
      <c r="G75" t="s">
        <v>280</v>
      </c>
      <c r="H75" s="2">
        <v>29.96875</v>
      </c>
    </row>
    <row r="76" spans="1:8" hidden="1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hidden="1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hidden="1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hidden="1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0</v>
      </c>
      <c r="G80" t="s">
        <v>301</v>
      </c>
      <c r="H80" s="2">
        <v>11.06</v>
      </c>
    </row>
    <row r="81" spans="1:8" hidden="1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hidden="1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hidden="1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hidden="1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hidden="1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40</v>
      </c>
      <c r="G87" t="s">
        <v>319</v>
      </c>
      <c r="H87" s="2">
        <v>16.59</v>
      </c>
    </row>
    <row r="88" spans="1:8" hidden="1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hidden="1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hidden="1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hidden="1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1000</v>
      </c>
      <c r="G93" t="s">
        <v>301</v>
      </c>
      <c r="H93" s="2">
        <v>13.525185185185185</v>
      </c>
    </row>
    <row r="94" spans="1:8" hidden="1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hidden="1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32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hidden="1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hidden="1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hidden="1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hidden="1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hidden="1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hidden="1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30</v>
      </c>
      <c r="G117" t="s">
        <v>195</v>
      </c>
      <c r="H117" s="2">
        <v>16.910476190476189</v>
      </c>
    </row>
    <row r="118" spans="1:8" hidden="1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hidden="1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30</v>
      </c>
      <c r="G120" t="s">
        <v>199</v>
      </c>
      <c r="H120" s="2">
        <v>19.116190476190475</v>
      </c>
    </row>
    <row r="121" spans="1:8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30</v>
      </c>
      <c r="G121" t="s">
        <v>200</v>
      </c>
      <c r="H121" s="2">
        <v>19.851428571428571</v>
      </c>
    </row>
    <row r="122" spans="1:8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30</v>
      </c>
      <c r="G122" t="s">
        <v>201</v>
      </c>
      <c r="H122" s="2">
        <v>20.586666666666666</v>
      </c>
    </row>
    <row r="123" spans="1:8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25</v>
      </c>
      <c r="G123" t="s">
        <v>202</v>
      </c>
      <c r="H123" s="2">
        <v>21.321904761904758</v>
      </c>
    </row>
    <row r="124" spans="1:8" hidden="1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25</v>
      </c>
      <c r="G125" t="s">
        <v>204</v>
      </c>
      <c r="H125" s="2">
        <v>22.792380952380952</v>
      </c>
    </row>
    <row r="126" spans="1:8" hidden="1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30</v>
      </c>
      <c r="G127" t="s">
        <v>206</v>
      </c>
      <c r="H127" s="2">
        <v>24.262857142857143</v>
      </c>
    </row>
    <row r="128" spans="1:8" hidden="1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hidden="1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20</v>
      </c>
      <c r="G132" t="s">
        <v>193</v>
      </c>
      <c r="H132" s="2">
        <v>30.471891891891893</v>
      </c>
    </row>
    <row r="133" spans="1:8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20</v>
      </c>
      <c r="G133" t="s">
        <v>184</v>
      </c>
      <c r="H133" s="2">
        <v>31.273783783783788</v>
      </c>
    </row>
    <row r="134" spans="1:8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20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hidden="1" x14ac:dyDescent="0.25">
      <c r="A136" s="7">
        <v>1960</v>
      </c>
      <c r="B136" t="s">
        <v>21</v>
      </c>
      <c r="C136" t="s">
        <v>22</v>
      </c>
      <c r="D136" t="s">
        <v>9</v>
      </c>
      <c r="E136" s="3">
        <v>1460</v>
      </c>
      <c r="F136">
        <v>7</v>
      </c>
      <c r="G136" t="s">
        <v>187</v>
      </c>
      <c r="H136" s="2">
        <v>94.88</v>
      </c>
    </row>
    <row r="137" spans="1:8" x14ac:dyDescent="0.25">
      <c r="A137">
        <v>1775</v>
      </c>
      <c r="B137" t="s">
        <v>21</v>
      </c>
      <c r="C137" t="s">
        <v>22</v>
      </c>
      <c r="D137" t="s">
        <v>9</v>
      </c>
      <c r="E137" s="1" t="s">
        <v>335</v>
      </c>
      <c r="F137">
        <f>VLOOKUP(Tabela14[[#This Row],[ID_COD]],Tabela2[],6,0)</f>
        <v>20</v>
      </c>
      <c r="G137" t="s">
        <v>188</v>
      </c>
      <c r="H137" s="2">
        <v>32.075675675675676</v>
      </c>
    </row>
    <row r="138" spans="1:8" x14ac:dyDescent="0.25">
      <c r="A138">
        <v>1776</v>
      </c>
      <c r="B138" t="s">
        <v>21</v>
      </c>
      <c r="C138" t="s">
        <v>22</v>
      </c>
      <c r="D138" t="s">
        <v>9</v>
      </c>
      <c r="E138" s="1" t="s">
        <v>336</v>
      </c>
      <c r="F138">
        <f>VLOOKUP(Tabela14[[#This Row],[ID_COD]],Tabela2[],6,0)</f>
        <v>0</v>
      </c>
      <c r="G138" t="s">
        <v>191</v>
      </c>
      <c r="H138" s="2">
        <v>32.877567567567567</v>
      </c>
    </row>
    <row r="139" spans="1:8" x14ac:dyDescent="0.25">
      <c r="A139">
        <v>1777</v>
      </c>
      <c r="B139" t="s">
        <v>21</v>
      </c>
      <c r="C139" t="s">
        <v>22</v>
      </c>
      <c r="D139" t="s">
        <v>9</v>
      </c>
      <c r="E139" s="1" t="s">
        <v>141</v>
      </c>
      <c r="F139">
        <f>VLOOKUP(Tabela14[[#This Row],[ID_COD]],Tabela2[],6,0)</f>
        <v>0</v>
      </c>
      <c r="G139" t="s">
        <v>192</v>
      </c>
      <c r="H139" s="2">
        <v>33.679459459459466</v>
      </c>
    </row>
    <row r="140" spans="1:8" hidden="1" x14ac:dyDescent="0.25">
      <c r="A140">
        <v>357</v>
      </c>
      <c r="B140" t="s">
        <v>23</v>
      </c>
      <c r="C140" t="s">
        <v>24</v>
      </c>
      <c r="D140" t="s">
        <v>4</v>
      </c>
      <c r="E140" s="1" t="s">
        <v>326</v>
      </c>
      <c r="F140">
        <f>VLOOKUP(Tabela14[[#This Row],[ID_COD]],Tabela2[],6,0)</f>
        <v>36</v>
      </c>
      <c r="G140" t="s">
        <v>207</v>
      </c>
      <c r="H140" s="2">
        <v>15.8424</v>
      </c>
    </row>
    <row r="141" spans="1:8" x14ac:dyDescent="0.25">
      <c r="A141">
        <v>358</v>
      </c>
      <c r="B141" t="s">
        <v>23</v>
      </c>
      <c r="C141" t="s">
        <v>24</v>
      </c>
      <c r="D141" t="s">
        <v>4</v>
      </c>
      <c r="E141" s="1" t="s">
        <v>327</v>
      </c>
      <c r="F141">
        <f>VLOOKUP(Tabela14[[#This Row],[ID_COD]],Tabela2[],6,0)</f>
        <v>30</v>
      </c>
      <c r="G141" t="s">
        <v>207</v>
      </c>
      <c r="H141" s="2">
        <v>16.596799999999998</v>
      </c>
    </row>
    <row r="142" spans="1:8" x14ac:dyDescent="0.25">
      <c r="A142">
        <v>261</v>
      </c>
      <c r="B142" t="s">
        <v>23</v>
      </c>
      <c r="C142" t="s">
        <v>24</v>
      </c>
      <c r="D142" t="s">
        <v>4</v>
      </c>
      <c r="E142" s="1" t="s">
        <v>328</v>
      </c>
      <c r="F142">
        <f>VLOOKUP(Tabela14[[#This Row],[ID_COD]],Tabela2[],6,0)</f>
        <v>30</v>
      </c>
      <c r="G142" t="s">
        <v>209</v>
      </c>
      <c r="H142" s="2">
        <v>17.351200000000002</v>
      </c>
    </row>
    <row r="143" spans="1:8" x14ac:dyDescent="0.25">
      <c r="A143">
        <v>262</v>
      </c>
      <c r="B143" t="s">
        <v>23</v>
      </c>
      <c r="C143" t="s">
        <v>24</v>
      </c>
      <c r="D143" t="s">
        <v>4</v>
      </c>
      <c r="E143" s="1" t="s">
        <v>329</v>
      </c>
      <c r="F143">
        <f>VLOOKUP(Tabela14[[#This Row],[ID_COD]],Tabela2[],6,0)</f>
        <v>30</v>
      </c>
      <c r="G143" t="s">
        <v>207</v>
      </c>
      <c r="H143" s="2">
        <v>18.105599999999999</v>
      </c>
    </row>
    <row r="144" spans="1:8" hidden="1" x14ac:dyDescent="0.25">
      <c r="A144">
        <v>263</v>
      </c>
      <c r="B144" t="s">
        <v>23</v>
      </c>
      <c r="C144" t="s">
        <v>24</v>
      </c>
      <c r="D144" t="s">
        <v>4</v>
      </c>
      <c r="E144" s="1" t="s">
        <v>330</v>
      </c>
      <c r="F144">
        <f>VLOOKUP(Tabela14[[#This Row],[ID_COD]],Tabela2[],6,0)</f>
        <v>30</v>
      </c>
      <c r="G144" t="s">
        <v>207</v>
      </c>
      <c r="H144" s="2">
        <v>18.86</v>
      </c>
    </row>
    <row r="145" spans="1:8" hidden="1" x14ac:dyDescent="0.25">
      <c r="A145">
        <v>264</v>
      </c>
      <c r="B145" t="s">
        <v>23</v>
      </c>
      <c r="C145" t="s">
        <v>24</v>
      </c>
      <c r="D145" t="s">
        <v>4</v>
      </c>
      <c r="E145" s="1" t="s">
        <v>262</v>
      </c>
      <c r="F145">
        <f>VLOOKUP(Tabela14[[#This Row],[ID_COD]],Tabela2[],6,0)</f>
        <v>20</v>
      </c>
      <c r="G145" t="s">
        <v>216</v>
      </c>
      <c r="H145" s="2">
        <v>19.614399999999996</v>
      </c>
    </row>
    <row r="146" spans="1:8" x14ac:dyDescent="0.25">
      <c r="A146">
        <v>265</v>
      </c>
      <c r="B146" t="s">
        <v>23</v>
      </c>
      <c r="C146" t="s">
        <v>24</v>
      </c>
      <c r="D146" t="s">
        <v>4</v>
      </c>
      <c r="E146" s="1" t="s">
        <v>222</v>
      </c>
      <c r="F146">
        <f>VLOOKUP(Tabela14[[#This Row],[ID_COD]],Tabela2[],6,0)</f>
        <v>30</v>
      </c>
      <c r="G146" t="s">
        <v>218</v>
      </c>
      <c r="H146" s="2">
        <v>20.3688</v>
      </c>
    </row>
    <row r="147" spans="1:8" hidden="1" x14ac:dyDescent="0.25">
      <c r="A147">
        <v>266</v>
      </c>
      <c r="B147" t="s">
        <v>23</v>
      </c>
      <c r="C147" t="s">
        <v>24</v>
      </c>
      <c r="D147" t="s">
        <v>4</v>
      </c>
      <c r="E147" s="1" t="s">
        <v>243</v>
      </c>
      <c r="F147">
        <f>VLOOKUP(Tabela14[[#This Row],[ID_COD]],Tabela2[],6,0)</f>
        <v>30</v>
      </c>
      <c r="G147" t="s">
        <v>207</v>
      </c>
      <c r="H147" s="2">
        <v>21.123200000000001</v>
      </c>
    </row>
    <row r="148" spans="1:8" x14ac:dyDescent="0.25">
      <c r="A148">
        <v>267</v>
      </c>
      <c r="B148" t="s">
        <v>23</v>
      </c>
      <c r="C148" t="s">
        <v>24</v>
      </c>
      <c r="D148" t="s">
        <v>4</v>
      </c>
      <c r="E148" s="1" t="s">
        <v>180</v>
      </c>
      <c r="F148">
        <f>VLOOKUP(Tabela14[[#This Row],[ID_COD]],Tabela2[],6,0)</f>
        <v>25</v>
      </c>
      <c r="G148" t="s">
        <v>219</v>
      </c>
      <c r="H148" s="2">
        <v>21.877599999999997</v>
      </c>
    </row>
    <row r="149" spans="1:8" x14ac:dyDescent="0.25">
      <c r="A149">
        <v>268</v>
      </c>
      <c r="B149" t="s">
        <v>23</v>
      </c>
      <c r="C149" t="s">
        <v>24</v>
      </c>
      <c r="D149" t="s">
        <v>4</v>
      </c>
      <c r="E149" s="1" t="s">
        <v>233</v>
      </c>
      <c r="F149">
        <f>VLOOKUP(Tabela14[[#This Row],[ID_COD]],Tabela2[],6,0)</f>
        <v>25</v>
      </c>
      <c r="G149" t="s">
        <v>220</v>
      </c>
      <c r="H149" s="2">
        <v>22.632000000000001</v>
      </c>
    </row>
    <row r="150" spans="1:8" x14ac:dyDescent="0.25">
      <c r="A150">
        <v>269</v>
      </c>
      <c r="B150" t="s">
        <v>23</v>
      </c>
      <c r="C150" t="s">
        <v>24</v>
      </c>
      <c r="D150" t="s">
        <v>4</v>
      </c>
      <c r="E150" s="1" t="s">
        <v>281</v>
      </c>
      <c r="F150">
        <f>VLOOKUP(Tabela14[[#This Row],[ID_COD]],Tabela2[],6,0)</f>
        <v>0</v>
      </c>
      <c r="G150" t="s">
        <v>221</v>
      </c>
      <c r="H150" s="2">
        <v>23.386399999999998</v>
      </c>
    </row>
    <row r="151" spans="1:8" x14ac:dyDescent="0.25">
      <c r="A151">
        <v>270</v>
      </c>
      <c r="B151" t="s">
        <v>23</v>
      </c>
      <c r="C151" t="s">
        <v>24</v>
      </c>
      <c r="D151" t="s">
        <v>4</v>
      </c>
      <c r="E151" s="1" t="s">
        <v>282</v>
      </c>
      <c r="F151">
        <f>VLOOKUP(Tabela14[[#This Row],[ID_COD]],Tabela2[],6,0)</f>
        <v>0</v>
      </c>
      <c r="G151" t="s">
        <v>223</v>
      </c>
      <c r="H151" s="2">
        <v>23.7636</v>
      </c>
    </row>
    <row r="152" spans="1:8" x14ac:dyDescent="0.25">
      <c r="A152">
        <v>271</v>
      </c>
      <c r="B152" t="s">
        <v>23</v>
      </c>
      <c r="C152" t="s">
        <v>24</v>
      </c>
      <c r="D152" t="s">
        <v>4</v>
      </c>
      <c r="E152" s="1" t="s">
        <v>299</v>
      </c>
      <c r="F152">
        <f>VLOOKUP(Tabela14[[#This Row],[ID_COD]],Tabela2[],6,0)</f>
        <v>0</v>
      </c>
      <c r="G152" t="s">
        <v>225</v>
      </c>
      <c r="H152" s="2">
        <v>24.140799999999999</v>
      </c>
    </row>
    <row r="153" spans="1:8" x14ac:dyDescent="0.25">
      <c r="A153">
        <v>272</v>
      </c>
      <c r="B153" t="s">
        <v>23</v>
      </c>
      <c r="C153" t="s">
        <v>24</v>
      </c>
      <c r="D153" t="s">
        <v>4</v>
      </c>
      <c r="E153" s="1" t="s">
        <v>316</v>
      </c>
      <c r="F153">
        <f>VLOOKUP(Tabela14[[#This Row],[ID_COD]],Tabela2[],6,0)</f>
        <v>0</v>
      </c>
      <c r="G153" t="s">
        <v>226</v>
      </c>
      <c r="H153" s="2">
        <v>24.895199999999999</v>
      </c>
    </row>
    <row r="154" spans="1:8" x14ac:dyDescent="0.25">
      <c r="A154">
        <v>1687</v>
      </c>
      <c r="B154" t="s">
        <v>23</v>
      </c>
      <c r="C154" t="s">
        <v>24</v>
      </c>
      <c r="D154" t="s">
        <v>8</v>
      </c>
      <c r="E154" s="1" t="s">
        <v>329</v>
      </c>
      <c r="F154">
        <f>VLOOKUP(Tabela14[[#This Row],[ID_COD]],Tabela2[],6,0)</f>
        <v>30</v>
      </c>
      <c r="G154" t="s">
        <v>207</v>
      </c>
      <c r="H154" s="2">
        <v>19.313684210526315</v>
      </c>
    </row>
    <row r="155" spans="1:8" x14ac:dyDescent="0.25">
      <c r="A155">
        <v>290</v>
      </c>
      <c r="B155" t="s">
        <v>23</v>
      </c>
      <c r="C155" t="s">
        <v>24</v>
      </c>
      <c r="D155" t="s">
        <v>8</v>
      </c>
      <c r="E155" s="1" t="s">
        <v>285</v>
      </c>
      <c r="F155">
        <f>VLOOKUP(Tabela14[[#This Row],[ID_COD]],Tabela2[],6,0)</f>
        <v>0</v>
      </c>
      <c r="G155" t="s">
        <v>181</v>
      </c>
      <c r="H155" s="2">
        <v>27.361052631578943</v>
      </c>
    </row>
    <row r="156" spans="1:8" x14ac:dyDescent="0.25">
      <c r="A156">
        <v>291</v>
      </c>
      <c r="B156" t="s">
        <v>23</v>
      </c>
      <c r="C156" t="s">
        <v>24</v>
      </c>
      <c r="D156" t="s">
        <v>8</v>
      </c>
      <c r="E156" s="1" t="s">
        <v>302</v>
      </c>
      <c r="F156">
        <f>VLOOKUP(Tabela14[[#This Row],[ID_COD]],Tabela2[],6,0)</f>
        <v>0</v>
      </c>
      <c r="G156" t="s">
        <v>212</v>
      </c>
      <c r="H156" s="2">
        <v>28.16578947368421</v>
      </c>
    </row>
    <row r="157" spans="1:8" x14ac:dyDescent="0.25">
      <c r="A157">
        <v>292</v>
      </c>
      <c r="B157" t="s">
        <v>23</v>
      </c>
      <c r="C157" t="s">
        <v>24</v>
      </c>
      <c r="D157" t="s">
        <v>8</v>
      </c>
      <c r="E157" s="1" t="s">
        <v>331</v>
      </c>
      <c r="F157">
        <f>VLOOKUP(Tabela14[[#This Row],[ID_COD]],Tabela2[],6,0)</f>
        <v>0</v>
      </c>
      <c r="G157" t="s">
        <v>213</v>
      </c>
      <c r="H157" s="2">
        <v>28.970526315789471</v>
      </c>
    </row>
    <row r="158" spans="1:8" x14ac:dyDescent="0.25">
      <c r="A158">
        <v>293</v>
      </c>
      <c r="B158" t="s">
        <v>23</v>
      </c>
      <c r="C158" t="s">
        <v>24</v>
      </c>
      <c r="D158" t="s">
        <v>8</v>
      </c>
      <c r="E158" s="1" t="s">
        <v>332</v>
      </c>
      <c r="F158">
        <f>VLOOKUP(Tabela14[[#This Row],[ID_COD]],Tabela2[],6,0)</f>
        <v>0</v>
      </c>
      <c r="G158" t="s">
        <v>215</v>
      </c>
      <c r="H158" s="2">
        <v>29.775263157894734</v>
      </c>
    </row>
    <row r="159" spans="1:8" x14ac:dyDescent="0.25">
      <c r="A159">
        <v>294</v>
      </c>
      <c r="B159" t="s">
        <v>23</v>
      </c>
      <c r="C159" t="s">
        <v>24</v>
      </c>
      <c r="D159" t="s">
        <v>8</v>
      </c>
      <c r="E159" s="1" t="s">
        <v>333</v>
      </c>
      <c r="F159">
        <f>VLOOKUP(Tabela14[[#This Row],[ID_COD]],Tabela2[],6,0)</f>
        <v>0</v>
      </c>
      <c r="G159" t="s">
        <v>207</v>
      </c>
      <c r="H159" s="2">
        <v>30.58</v>
      </c>
    </row>
    <row r="160" spans="1:8" x14ac:dyDescent="0.25">
      <c r="A160">
        <v>295</v>
      </c>
      <c r="B160" t="s">
        <v>23</v>
      </c>
      <c r="C160" t="s">
        <v>24</v>
      </c>
      <c r="D160" t="s">
        <v>8</v>
      </c>
      <c r="E160" s="1" t="s">
        <v>334</v>
      </c>
      <c r="F160">
        <f>VLOOKUP(Tabela14[[#This Row],[ID_COD]],Tabela2[],6,0)</f>
        <v>0</v>
      </c>
      <c r="G160" t="s">
        <v>217</v>
      </c>
      <c r="H160" s="2">
        <v>31.384736842105259</v>
      </c>
    </row>
    <row r="161" spans="1:8" hidden="1" x14ac:dyDescent="0.25">
      <c r="A161">
        <v>296</v>
      </c>
      <c r="B161" t="s">
        <v>23</v>
      </c>
      <c r="C161" t="s">
        <v>24</v>
      </c>
      <c r="D161" t="s">
        <v>8</v>
      </c>
      <c r="E161" s="1" t="s">
        <v>335</v>
      </c>
      <c r="F161">
        <f>VLOOKUP(Tabela14[[#This Row],[ID_COD]],Tabela2[],6,0)</f>
        <v>20</v>
      </c>
      <c r="G161" t="s">
        <v>186</v>
      </c>
      <c r="H161" s="2">
        <v>32.189473684210526</v>
      </c>
    </row>
    <row r="162" spans="1:8" hidden="1" x14ac:dyDescent="0.25">
      <c r="A162" s="7">
        <v>1961</v>
      </c>
      <c r="B162" t="s">
        <v>23</v>
      </c>
      <c r="C162" t="s">
        <v>24</v>
      </c>
      <c r="D162" s="7" t="s">
        <v>411</v>
      </c>
      <c r="E162" s="3">
        <v>1530</v>
      </c>
      <c r="F162">
        <v>7</v>
      </c>
      <c r="G162" t="s">
        <v>207</v>
      </c>
      <c r="H162" s="2">
        <v>98.7</v>
      </c>
    </row>
    <row r="163" spans="1:8" x14ac:dyDescent="0.25">
      <c r="A163">
        <v>1778</v>
      </c>
      <c r="B163" t="s">
        <v>23</v>
      </c>
      <c r="C163" t="s">
        <v>24</v>
      </c>
      <c r="D163" t="s">
        <v>9</v>
      </c>
      <c r="E163" s="1" t="s">
        <v>335</v>
      </c>
      <c r="F163">
        <f>VLOOKUP(Tabela14[[#This Row],[ID_COD]],Tabela2[],6,0)</f>
        <v>20</v>
      </c>
      <c r="G163" t="s">
        <v>207</v>
      </c>
      <c r="H163" s="2" t="e">
        <v>#N/A</v>
      </c>
    </row>
    <row r="164" spans="1:8" x14ac:dyDescent="0.25">
      <c r="A164">
        <v>1779</v>
      </c>
      <c r="B164" t="s">
        <v>23</v>
      </c>
      <c r="C164" t="s">
        <v>24</v>
      </c>
      <c r="D164" t="s">
        <v>9</v>
      </c>
      <c r="E164" s="1" t="s">
        <v>336</v>
      </c>
      <c r="F164">
        <f>VLOOKUP(Tabela14[[#This Row],[ID_COD]],Tabela2[],6,0)</f>
        <v>20</v>
      </c>
      <c r="G164" t="s">
        <v>210</v>
      </c>
      <c r="H164" s="2" t="e">
        <v>#N/A</v>
      </c>
    </row>
    <row r="165" spans="1:8" x14ac:dyDescent="0.25">
      <c r="A165">
        <v>1780</v>
      </c>
      <c r="B165" t="s">
        <v>23</v>
      </c>
      <c r="C165" t="s">
        <v>24</v>
      </c>
      <c r="D165" t="s">
        <v>9</v>
      </c>
      <c r="E165" s="1" t="s">
        <v>141</v>
      </c>
      <c r="F165">
        <f>VLOOKUP(Tabela14[[#This Row],[ID_COD]],Tabela2[],6,0)</f>
        <v>0</v>
      </c>
      <c r="G165" t="s">
        <v>211</v>
      </c>
      <c r="H165" s="2" t="e">
        <v>#N/A</v>
      </c>
    </row>
    <row r="166" spans="1:8" hidden="1" x14ac:dyDescent="0.25">
      <c r="A166">
        <v>359</v>
      </c>
      <c r="B166" t="s">
        <v>25</v>
      </c>
      <c r="C166" t="s">
        <v>26</v>
      </c>
      <c r="D166" t="s">
        <v>4</v>
      </c>
      <c r="E166" s="1" t="s">
        <v>325</v>
      </c>
      <c r="F166">
        <f>VLOOKUP(Tabela14[[#This Row],[ID_COD]],Tabela2[],6,0)</f>
        <v>36</v>
      </c>
      <c r="G166" t="s">
        <v>227</v>
      </c>
      <c r="H166" s="2">
        <v>15.8</v>
      </c>
    </row>
    <row r="167" spans="1:8" hidden="1" x14ac:dyDescent="0.25">
      <c r="A167">
        <v>273</v>
      </c>
      <c r="B167" t="s">
        <v>25</v>
      </c>
      <c r="C167" t="s">
        <v>26</v>
      </c>
      <c r="D167" t="s">
        <v>4</v>
      </c>
      <c r="E167" s="1" t="s">
        <v>326</v>
      </c>
      <c r="F167">
        <f>VLOOKUP(Tabela14[[#This Row],[ID_COD]],Tabela2[],6,0)</f>
        <v>36</v>
      </c>
      <c r="G167" t="s">
        <v>182</v>
      </c>
      <c r="H167" s="2">
        <v>16.59</v>
      </c>
    </row>
    <row r="168" spans="1:8" x14ac:dyDescent="0.25">
      <c r="A168">
        <v>274</v>
      </c>
      <c r="B168" t="s">
        <v>25</v>
      </c>
      <c r="C168" t="s">
        <v>26</v>
      </c>
      <c r="D168" t="s">
        <v>4</v>
      </c>
      <c r="E168" s="1" t="s">
        <v>327</v>
      </c>
      <c r="F168">
        <f>VLOOKUP(Tabela14[[#This Row],[ID_COD]],Tabela2[],6,0)</f>
        <v>36</v>
      </c>
      <c r="G168" t="s">
        <v>228</v>
      </c>
      <c r="H168" s="2">
        <v>17.38</v>
      </c>
    </row>
    <row r="169" spans="1:8" x14ac:dyDescent="0.25">
      <c r="A169">
        <v>275</v>
      </c>
      <c r="B169" t="s">
        <v>25</v>
      </c>
      <c r="C169" t="s">
        <v>26</v>
      </c>
      <c r="D169" t="s">
        <v>4</v>
      </c>
      <c r="E169" s="1" t="s">
        <v>328</v>
      </c>
      <c r="F169">
        <f>VLOOKUP(Tabela14[[#This Row],[ID_COD]],Tabela2[],6,0)</f>
        <v>30</v>
      </c>
      <c r="G169" t="s">
        <v>228</v>
      </c>
      <c r="H169" s="2">
        <v>18.170000000000002</v>
      </c>
    </row>
    <row r="170" spans="1:8" hidden="1" x14ac:dyDescent="0.25">
      <c r="A170">
        <v>276</v>
      </c>
      <c r="B170" t="s">
        <v>25</v>
      </c>
      <c r="C170" t="s">
        <v>26</v>
      </c>
      <c r="D170" t="s">
        <v>4</v>
      </c>
      <c r="E170" s="1" t="s">
        <v>329</v>
      </c>
      <c r="F170">
        <f>VLOOKUP(Tabela14[[#This Row],[ID_COD]],Tabela2[],6,0)</f>
        <v>30</v>
      </c>
      <c r="G170" t="s">
        <v>227</v>
      </c>
      <c r="H170" s="2">
        <v>18.959999999999997</v>
      </c>
    </row>
    <row r="171" spans="1:8" hidden="1" x14ac:dyDescent="0.25">
      <c r="A171">
        <v>277</v>
      </c>
      <c r="B171" t="s">
        <v>25</v>
      </c>
      <c r="C171" t="s">
        <v>26</v>
      </c>
      <c r="D171" t="s">
        <v>4</v>
      </c>
      <c r="E171" s="1" t="s">
        <v>330</v>
      </c>
      <c r="F171">
        <f>VLOOKUP(Tabela14[[#This Row],[ID_COD]],Tabela2[],6,0)</f>
        <v>30</v>
      </c>
      <c r="G171" t="s">
        <v>236</v>
      </c>
      <c r="H171" s="2">
        <v>19.75</v>
      </c>
    </row>
    <row r="172" spans="1:8" x14ac:dyDescent="0.25">
      <c r="A172">
        <v>278</v>
      </c>
      <c r="B172" t="s">
        <v>25</v>
      </c>
      <c r="C172" t="s">
        <v>26</v>
      </c>
      <c r="D172" t="s">
        <v>4</v>
      </c>
      <c r="E172" s="1" t="s">
        <v>262</v>
      </c>
      <c r="F172">
        <f>VLOOKUP(Tabela14[[#This Row],[ID_COD]],Tabela2[],6,0)</f>
        <v>30</v>
      </c>
      <c r="G172" t="s">
        <v>238</v>
      </c>
      <c r="H172" s="2">
        <v>20.54</v>
      </c>
    </row>
    <row r="173" spans="1:8" hidden="1" x14ac:dyDescent="0.25">
      <c r="A173">
        <v>279</v>
      </c>
      <c r="B173" t="s">
        <v>25</v>
      </c>
      <c r="C173" t="s">
        <v>26</v>
      </c>
      <c r="D173" t="s">
        <v>4</v>
      </c>
      <c r="E173" s="1" t="s">
        <v>222</v>
      </c>
      <c r="F173">
        <f>VLOOKUP(Tabela14[[#This Row],[ID_COD]],Tabela2[],6,0)</f>
        <v>30</v>
      </c>
      <c r="G173" t="s">
        <v>241</v>
      </c>
      <c r="H173" s="2">
        <v>19.88</v>
      </c>
    </row>
    <row r="174" spans="1:8" hidden="1" x14ac:dyDescent="0.25">
      <c r="A174">
        <v>280</v>
      </c>
      <c r="B174" t="s">
        <v>25</v>
      </c>
      <c r="C174" t="s">
        <v>26</v>
      </c>
      <c r="D174" t="s">
        <v>4</v>
      </c>
      <c r="E174" s="1" t="s">
        <v>243</v>
      </c>
      <c r="F174">
        <f>VLOOKUP(Tabela14[[#This Row],[ID_COD]],Tabela2[],6,0)</f>
        <v>30</v>
      </c>
      <c r="G174" t="s">
        <v>244</v>
      </c>
      <c r="H174" s="2">
        <v>22.12</v>
      </c>
    </row>
    <row r="175" spans="1:8" x14ac:dyDescent="0.25">
      <c r="A175">
        <v>281</v>
      </c>
      <c r="B175" t="s">
        <v>25</v>
      </c>
      <c r="C175" t="s">
        <v>26</v>
      </c>
      <c r="D175" t="s">
        <v>4</v>
      </c>
      <c r="E175" s="1" t="s">
        <v>180</v>
      </c>
      <c r="F175">
        <f>VLOOKUP(Tabela14[[#This Row],[ID_COD]],Tabela2[],6,0)</f>
        <v>25</v>
      </c>
      <c r="G175" t="s">
        <v>228</v>
      </c>
      <c r="H175" s="2">
        <v>22.91</v>
      </c>
    </row>
    <row r="176" spans="1:8" x14ac:dyDescent="0.25">
      <c r="A176">
        <v>282</v>
      </c>
      <c r="B176" t="s">
        <v>25</v>
      </c>
      <c r="C176" t="s">
        <v>26</v>
      </c>
      <c r="D176" t="s">
        <v>4</v>
      </c>
      <c r="E176" s="1" t="s">
        <v>233</v>
      </c>
      <c r="F176">
        <f>VLOOKUP(Tabela14[[#This Row],[ID_COD]],Tabela2[],6,0)</f>
        <v>0</v>
      </c>
      <c r="G176" t="s">
        <v>246</v>
      </c>
      <c r="H176" s="2">
        <v>23.7</v>
      </c>
    </row>
    <row r="177" spans="1:8" x14ac:dyDescent="0.25">
      <c r="A177">
        <v>283</v>
      </c>
      <c r="B177" t="s">
        <v>25</v>
      </c>
      <c r="C177" t="s">
        <v>26</v>
      </c>
      <c r="D177" t="s">
        <v>4</v>
      </c>
      <c r="E177" s="1" t="s">
        <v>281</v>
      </c>
      <c r="F177">
        <f>VLOOKUP(Tabela14[[#This Row],[ID_COD]],Tabela2[],6,0)</f>
        <v>0</v>
      </c>
      <c r="G177" t="s">
        <v>247</v>
      </c>
      <c r="H177" s="2">
        <v>24.490000000000002</v>
      </c>
    </row>
    <row r="178" spans="1:8" hidden="1" x14ac:dyDescent="0.25">
      <c r="A178">
        <v>284</v>
      </c>
      <c r="B178" t="s">
        <v>25</v>
      </c>
      <c r="C178" t="s">
        <v>26</v>
      </c>
      <c r="D178" t="s">
        <v>4</v>
      </c>
      <c r="E178" s="1" t="s">
        <v>299</v>
      </c>
      <c r="F178">
        <f>VLOOKUP(Tabela14[[#This Row],[ID_COD]],Tabela2[],6,0)</f>
        <v>25</v>
      </c>
      <c r="G178" t="s">
        <v>248</v>
      </c>
      <c r="H178" s="2">
        <v>25.28</v>
      </c>
    </row>
    <row r="179" spans="1:8" x14ac:dyDescent="0.25">
      <c r="A179">
        <v>285</v>
      </c>
      <c r="B179" t="s">
        <v>25</v>
      </c>
      <c r="C179" t="s">
        <v>26</v>
      </c>
      <c r="D179" t="s">
        <v>4</v>
      </c>
      <c r="E179" s="1" t="s">
        <v>316</v>
      </c>
      <c r="F179">
        <f>VLOOKUP(Tabela14[[#This Row],[ID_COD]],Tabela2[],6,0)</f>
        <v>0</v>
      </c>
      <c r="G179" t="s">
        <v>249</v>
      </c>
      <c r="H179" s="2">
        <v>26.069999999999997</v>
      </c>
    </row>
    <row r="180" spans="1:8" hidden="1" x14ac:dyDescent="0.25">
      <c r="A180" s="4">
        <v>286</v>
      </c>
      <c r="B180" s="4" t="s">
        <v>25</v>
      </c>
      <c r="C180" s="4" t="s">
        <v>26</v>
      </c>
      <c r="D180" s="4" t="s">
        <v>4</v>
      </c>
      <c r="E180" s="5" t="s">
        <v>285</v>
      </c>
      <c r="F180">
        <f>VLOOKUP(Tabela14[[#This Row],[ID_COD]],Tabela2[],6,0)</f>
        <v>20</v>
      </c>
      <c r="G180" s="4" t="s">
        <v>250</v>
      </c>
      <c r="H180" s="6">
        <v>26.86</v>
      </c>
    </row>
    <row r="181" spans="1:8" x14ac:dyDescent="0.25">
      <c r="A181">
        <v>287</v>
      </c>
      <c r="B181" t="s">
        <v>25</v>
      </c>
      <c r="C181" t="s">
        <v>26</v>
      </c>
      <c r="D181" t="s">
        <v>4</v>
      </c>
      <c r="E181" s="1" t="s">
        <v>302</v>
      </c>
      <c r="F181">
        <f>VLOOKUP(Tabela14[[#This Row],[ID_COD]],Tabela2[],6,0)</f>
        <v>0</v>
      </c>
      <c r="G181" t="s">
        <v>228</v>
      </c>
      <c r="H181" s="2">
        <v>27.65</v>
      </c>
    </row>
    <row r="182" spans="1:8" x14ac:dyDescent="0.25">
      <c r="A182">
        <v>288</v>
      </c>
      <c r="B182" t="s">
        <v>25</v>
      </c>
      <c r="C182" t="s">
        <v>26</v>
      </c>
      <c r="D182" t="s">
        <v>4</v>
      </c>
      <c r="E182" s="1" t="s">
        <v>331</v>
      </c>
      <c r="F182">
        <f>VLOOKUP(Tabela14[[#This Row],[ID_COD]],Tabela2[],6,0)</f>
        <v>0</v>
      </c>
      <c r="G182" t="s">
        <v>251</v>
      </c>
      <c r="H182" s="2">
        <v>28.44</v>
      </c>
    </row>
    <row r="183" spans="1:8" x14ac:dyDescent="0.25">
      <c r="A183">
        <v>289</v>
      </c>
      <c r="B183" t="s">
        <v>25</v>
      </c>
      <c r="C183" t="s">
        <v>26</v>
      </c>
      <c r="D183" t="s">
        <v>4</v>
      </c>
      <c r="E183" s="1" t="s">
        <v>332</v>
      </c>
      <c r="F183">
        <f>VLOOKUP(Tabela14[[#This Row],[ID_COD]],Tabela2[],6,0)</f>
        <v>0</v>
      </c>
      <c r="G183" t="s">
        <v>252</v>
      </c>
      <c r="H183" s="2">
        <v>29.229999999999997</v>
      </c>
    </row>
    <row r="184" spans="1:8" x14ac:dyDescent="0.25">
      <c r="A184">
        <v>1636</v>
      </c>
      <c r="B184" t="s">
        <v>25</v>
      </c>
      <c r="C184" t="s">
        <v>26</v>
      </c>
      <c r="D184" t="s">
        <v>8</v>
      </c>
      <c r="E184" s="1" t="s">
        <v>325</v>
      </c>
      <c r="F184">
        <f>VLOOKUP(Tabela14[[#This Row],[ID_COD]],Tabela2[],6,0)</f>
        <v>36</v>
      </c>
      <c r="G184" t="s">
        <v>227</v>
      </c>
      <c r="H184" s="2">
        <v>16.068292682926828</v>
      </c>
    </row>
    <row r="185" spans="1:8" x14ac:dyDescent="0.25">
      <c r="A185">
        <v>1637</v>
      </c>
      <c r="B185" t="s">
        <v>25</v>
      </c>
      <c r="C185" t="s">
        <v>26</v>
      </c>
      <c r="D185" t="s">
        <v>8</v>
      </c>
      <c r="E185" s="1" t="s">
        <v>328</v>
      </c>
      <c r="F185" t="e">
        <f>VLOOKUP(Tabela14[[#This Row],[ID_COD]],Tabela2[],6,0)</f>
        <v>#N/A</v>
      </c>
      <c r="G185" t="s">
        <v>227</v>
      </c>
      <c r="H185" s="2">
        <v>18.478536585365852</v>
      </c>
    </row>
    <row r="186" spans="1:8" x14ac:dyDescent="0.25">
      <c r="A186">
        <v>297</v>
      </c>
      <c r="B186" t="s">
        <v>25</v>
      </c>
      <c r="C186" t="s">
        <v>26</v>
      </c>
      <c r="D186" t="s">
        <v>8</v>
      </c>
      <c r="E186" s="1" t="s">
        <v>333</v>
      </c>
      <c r="F186">
        <f>VLOOKUP(Tabela14[[#This Row],[ID_COD]],Tabela2[],6,0)</f>
        <v>20</v>
      </c>
      <c r="G186" t="s">
        <v>230</v>
      </c>
      <c r="H186" s="2">
        <v>30.529756097560973</v>
      </c>
    </row>
    <row r="187" spans="1:8" x14ac:dyDescent="0.25">
      <c r="A187">
        <v>298</v>
      </c>
      <c r="B187" t="s">
        <v>25</v>
      </c>
      <c r="C187" t="s">
        <v>26</v>
      </c>
      <c r="D187" t="s">
        <v>8</v>
      </c>
      <c r="E187" s="1" t="s">
        <v>334</v>
      </c>
      <c r="F187">
        <f>VLOOKUP(Tabela14[[#This Row],[ID_COD]],Tabela2[],6,0)</f>
        <v>20</v>
      </c>
      <c r="G187" t="s">
        <v>231</v>
      </c>
      <c r="H187" s="2">
        <v>31.333170731707312</v>
      </c>
    </row>
    <row r="188" spans="1:8" x14ac:dyDescent="0.25">
      <c r="A188">
        <v>299</v>
      </c>
      <c r="B188" t="s">
        <v>25</v>
      </c>
      <c r="C188" t="s">
        <v>26</v>
      </c>
      <c r="D188" t="s">
        <v>8</v>
      </c>
      <c r="E188" s="1" t="s">
        <v>335</v>
      </c>
      <c r="F188">
        <f>VLOOKUP(Tabela14[[#This Row],[ID_COD]],Tabela2[],6,0)</f>
        <v>20</v>
      </c>
      <c r="G188" t="s">
        <v>232</v>
      </c>
      <c r="H188" s="2">
        <v>32.136585365853655</v>
      </c>
    </row>
    <row r="189" spans="1:8" hidden="1" x14ac:dyDescent="0.25">
      <c r="A189">
        <v>300</v>
      </c>
      <c r="B189" t="s">
        <v>25</v>
      </c>
      <c r="C189" t="s">
        <v>26</v>
      </c>
      <c r="D189" t="s">
        <v>8</v>
      </c>
      <c r="E189" s="1" t="s">
        <v>336</v>
      </c>
      <c r="F189">
        <f>VLOOKUP(Tabela14[[#This Row],[ID_COD]],Tabela2[],6,0)</f>
        <v>20</v>
      </c>
      <c r="G189" t="s">
        <v>234</v>
      </c>
      <c r="H189" s="2">
        <v>32.94</v>
      </c>
    </row>
    <row r="190" spans="1:8" x14ac:dyDescent="0.25">
      <c r="A190">
        <v>301</v>
      </c>
      <c r="B190" t="s">
        <v>25</v>
      </c>
      <c r="C190" t="s">
        <v>26</v>
      </c>
      <c r="D190" t="s">
        <v>8</v>
      </c>
      <c r="E190" s="1" t="s">
        <v>141</v>
      </c>
      <c r="F190">
        <f>VLOOKUP(Tabela14[[#This Row],[ID_COD]],Tabela2[],6,0)</f>
        <v>0</v>
      </c>
      <c r="G190" t="s">
        <v>235</v>
      </c>
      <c r="H190" s="2">
        <v>33.74341463414634</v>
      </c>
    </row>
    <row r="191" spans="1:8" x14ac:dyDescent="0.25">
      <c r="A191">
        <v>302</v>
      </c>
      <c r="B191" t="s">
        <v>25</v>
      </c>
      <c r="C191" t="s">
        <v>26</v>
      </c>
      <c r="D191" t="s">
        <v>8</v>
      </c>
      <c r="E191" s="1" t="s">
        <v>164</v>
      </c>
      <c r="F191">
        <f>VLOOKUP(Tabela14[[#This Row],[ID_COD]],Tabela2[],6,0)</f>
        <v>0</v>
      </c>
      <c r="G191" t="s">
        <v>237</v>
      </c>
      <c r="H191" s="2">
        <v>34.546829268292683</v>
      </c>
    </row>
    <row r="192" spans="1:8" x14ac:dyDescent="0.25">
      <c r="A192">
        <v>303</v>
      </c>
      <c r="B192" t="s">
        <v>25</v>
      </c>
      <c r="C192" t="s">
        <v>26</v>
      </c>
      <c r="D192" t="s">
        <v>8</v>
      </c>
      <c r="E192" s="1" t="s">
        <v>337</v>
      </c>
      <c r="F192">
        <f>VLOOKUP(Tabela14[[#This Row],[ID_COD]],Tabela2[],6,0)</f>
        <v>0</v>
      </c>
      <c r="G192" t="s">
        <v>239</v>
      </c>
      <c r="H192" s="2">
        <v>35.350243902439018</v>
      </c>
    </row>
    <row r="193" spans="1:8" x14ac:dyDescent="0.25">
      <c r="A193">
        <v>304</v>
      </c>
      <c r="B193" t="s">
        <v>25</v>
      </c>
      <c r="C193" t="s">
        <v>26</v>
      </c>
      <c r="D193" t="s">
        <v>8</v>
      </c>
      <c r="E193" s="1" t="s">
        <v>338</v>
      </c>
      <c r="F193">
        <f>VLOOKUP(Tabela14[[#This Row],[ID_COD]],Tabela2[],6,0)</f>
        <v>0</v>
      </c>
      <c r="G193" t="s">
        <v>242</v>
      </c>
      <c r="H193" s="2">
        <v>36.153658536585361</v>
      </c>
    </row>
    <row r="194" spans="1:8" hidden="1" x14ac:dyDescent="0.25">
      <c r="A194" s="7">
        <v>1962</v>
      </c>
      <c r="B194" t="s">
        <v>25</v>
      </c>
      <c r="C194" t="s">
        <v>26</v>
      </c>
      <c r="D194" t="s">
        <v>9</v>
      </c>
      <c r="E194" s="3">
        <v>1650</v>
      </c>
      <c r="F194">
        <v>7</v>
      </c>
      <c r="G194" t="s">
        <v>227</v>
      </c>
      <c r="H194" s="2">
        <v>107.44</v>
      </c>
    </row>
    <row r="195" spans="1:8" x14ac:dyDescent="0.25">
      <c r="A195">
        <v>1781</v>
      </c>
      <c r="B195" t="s">
        <v>25</v>
      </c>
      <c r="C195" t="s">
        <v>26</v>
      </c>
      <c r="D195" t="s">
        <v>9</v>
      </c>
      <c r="E195" s="1" t="s">
        <v>335</v>
      </c>
      <c r="F195">
        <f>VLOOKUP(Tabela14[[#This Row],[ID_COD]],Tabela2[],6,0)</f>
        <v>20</v>
      </c>
      <c r="G195" t="s">
        <v>227</v>
      </c>
      <c r="H195" s="2" t="e">
        <v>#N/A</v>
      </c>
    </row>
    <row r="196" spans="1:8" x14ac:dyDescent="0.25">
      <c r="A196">
        <v>1782</v>
      </c>
      <c r="B196" t="s">
        <v>25</v>
      </c>
      <c r="C196" t="s">
        <v>26</v>
      </c>
      <c r="D196" t="s">
        <v>9</v>
      </c>
      <c r="E196" s="1" t="s">
        <v>336</v>
      </c>
      <c r="F196">
        <f>VLOOKUP(Tabela14[[#This Row],[ID_COD]],Tabela2[],6,0)</f>
        <v>0</v>
      </c>
      <c r="G196" t="s">
        <v>229</v>
      </c>
      <c r="H196" s="2" t="e">
        <v>#N/A</v>
      </c>
    </row>
    <row r="197" spans="1:8" x14ac:dyDescent="0.25">
      <c r="A197">
        <v>1644</v>
      </c>
      <c r="B197" t="s">
        <v>27</v>
      </c>
      <c r="C197" t="s">
        <v>29</v>
      </c>
      <c r="D197" t="s">
        <v>28</v>
      </c>
      <c r="E197" s="1" t="s">
        <v>322</v>
      </c>
      <c r="F197" t="e">
        <f>VLOOKUP(Tabela14[[#This Row],[ID_COD]],Tabela2[],6,0)</f>
        <v>#N/A</v>
      </c>
      <c r="G197" t="s">
        <v>171</v>
      </c>
      <c r="H197" s="2">
        <v>3.66</v>
      </c>
    </row>
    <row r="198" spans="1:8" x14ac:dyDescent="0.25">
      <c r="A198">
        <v>1589</v>
      </c>
      <c r="B198" t="s">
        <v>27</v>
      </c>
      <c r="C198" t="s">
        <v>30</v>
      </c>
      <c r="D198" t="s">
        <v>28</v>
      </c>
      <c r="E198" s="1" t="s">
        <v>322</v>
      </c>
      <c r="F198" t="e">
        <f>VLOOKUP(Tabela14[[#This Row],[ID_COD]],Tabela2[],6,0)</f>
        <v>#N/A</v>
      </c>
      <c r="G198" t="s">
        <v>111</v>
      </c>
      <c r="H198" s="2">
        <v>3.97</v>
      </c>
    </row>
    <row r="199" spans="1:8" x14ac:dyDescent="0.25">
      <c r="A199">
        <v>1590</v>
      </c>
      <c r="B199" t="s">
        <v>27</v>
      </c>
      <c r="C199" t="s">
        <v>31</v>
      </c>
      <c r="D199" t="s">
        <v>28</v>
      </c>
      <c r="E199" s="1" t="s">
        <v>322</v>
      </c>
      <c r="F199" t="e">
        <f>VLOOKUP(Tabela14[[#This Row],[ID_COD]],Tabela2[],6,0)</f>
        <v>#N/A</v>
      </c>
      <c r="G199" t="s">
        <v>126</v>
      </c>
      <c r="H199" s="2">
        <v>4.91</v>
      </c>
    </row>
    <row r="200" spans="1:8" x14ac:dyDescent="0.25">
      <c r="A200">
        <v>1592</v>
      </c>
      <c r="B200" t="s">
        <v>27</v>
      </c>
      <c r="C200" t="s">
        <v>32</v>
      </c>
      <c r="D200" t="s">
        <v>28</v>
      </c>
      <c r="E200" s="1" t="s">
        <v>322</v>
      </c>
      <c r="F200" t="e">
        <f>VLOOKUP(Tabela14[[#This Row],[ID_COD]],Tabela2[],6,0)</f>
        <v>#N/A</v>
      </c>
      <c r="G200" t="s">
        <v>81</v>
      </c>
      <c r="H200" s="2">
        <v>5.63</v>
      </c>
    </row>
    <row r="201" spans="1:8" x14ac:dyDescent="0.25">
      <c r="A201">
        <v>1593</v>
      </c>
      <c r="B201" t="s">
        <v>27</v>
      </c>
      <c r="C201" t="s">
        <v>33</v>
      </c>
      <c r="D201" t="s">
        <v>28</v>
      </c>
      <c r="E201" s="1" t="s">
        <v>322</v>
      </c>
      <c r="F201" t="e">
        <f>VLOOKUP(Tabela14[[#This Row],[ID_COD]],Tabela2[],6,0)</f>
        <v>#N/A</v>
      </c>
      <c r="G201" t="s">
        <v>88</v>
      </c>
      <c r="H201" s="2">
        <v>7.25</v>
      </c>
    </row>
    <row r="202" spans="1:8" x14ac:dyDescent="0.25">
      <c r="B202" t="s">
        <v>27</v>
      </c>
      <c r="C202" t="s">
        <v>34</v>
      </c>
      <c r="D202" t="s">
        <v>28</v>
      </c>
      <c r="E202" s="1" t="s">
        <v>322</v>
      </c>
      <c r="F202" t="e">
        <f>VLOOKUP(Tabela14[[#This Row],[ID_COD]],Tabela2[],6,0)</f>
        <v>#N/A</v>
      </c>
      <c r="H202" s="2" t="e">
        <v>#N/A</v>
      </c>
    </row>
    <row r="203" spans="1:8" x14ac:dyDescent="0.25">
      <c r="A203">
        <v>1594</v>
      </c>
      <c r="B203" t="s">
        <v>27</v>
      </c>
      <c r="C203" t="s">
        <v>35</v>
      </c>
      <c r="D203" t="s">
        <v>28</v>
      </c>
      <c r="E203" s="1" t="s">
        <v>322</v>
      </c>
      <c r="F203" t="e">
        <f>VLOOKUP(Tabela14[[#This Row],[ID_COD]],Tabela2[],6,0)</f>
        <v>#N/A</v>
      </c>
      <c r="G203" t="s">
        <v>97</v>
      </c>
      <c r="H203" s="2">
        <v>10.74</v>
      </c>
    </row>
    <row r="204" spans="1:8" x14ac:dyDescent="0.25">
      <c r="B204" t="s">
        <v>27</v>
      </c>
      <c r="C204" t="s">
        <v>36</v>
      </c>
      <c r="D204" t="s">
        <v>28</v>
      </c>
      <c r="E204" s="1" t="s">
        <v>322</v>
      </c>
      <c r="F204" t="e">
        <f>VLOOKUP(Tabela14[[#This Row],[ID_COD]],Tabela2[],6,0)</f>
        <v>#N/A</v>
      </c>
      <c r="H204" s="2" t="e">
        <v>#N/A</v>
      </c>
    </row>
    <row r="205" spans="1:8" x14ac:dyDescent="0.25">
      <c r="A205">
        <v>1595</v>
      </c>
      <c r="B205" t="s">
        <v>27</v>
      </c>
      <c r="C205" t="s">
        <v>37</v>
      </c>
      <c r="D205" t="s">
        <v>28</v>
      </c>
      <c r="E205" s="1" t="s">
        <v>322</v>
      </c>
      <c r="F205" t="e">
        <f>VLOOKUP(Tabela14[[#This Row],[ID_COD]],Tabela2[],6,0)</f>
        <v>#N/A</v>
      </c>
      <c r="G205" t="s">
        <v>120</v>
      </c>
      <c r="H205" s="2">
        <v>5.38</v>
      </c>
    </row>
    <row r="206" spans="1:8" x14ac:dyDescent="0.25">
      <c r="A206">
        <v>1596</v>
      </c>
      <c r="B206" t="s">
        <v>27</v>
      </c>
      <c r="C206" t="s">
        <v>38</v>
      </c>
      <c r="D206" t="s">
        <v>28</v>
      </c>
      <c r="E206" s="1" t="s">
        <v>322</v>
      </c>
      <c r="F206" t="e">
        <f>VLOOKUP(Tabela14[[#This Row],[ID_COD]],Tabela2[],6,0)</f>
        <v>#N/A</v>
      </c>
      <c r="G206" t="s">
        <v>132</v>
      </c>
      <c r="H206" s="2">
        <v>6.78</v>
      </c>
    </row>
    <row r="207" spans="1:8" x14ac:dyDescent="0.25">
      <c r="A207">
        <v>1597</v>
      </c>
      <c r="B207" t="s">
        <v>27</v>
      </c>
      <c r="C207" t="s">
        <v>39</v>
      </c>
      <c r="D207" t="s">
        <v>28</v>
      </c>
      <c r="E207" s="1" t="s">
        <v>322</v>
      </c>
      <c r="F207" t="e">
        <f>VLOOKUP(Tabela14[[#This Row],[ID_COD]],Tabela2[],6,0)</f>
        <v>#N/A</v>
      </c>
      <c r="G207" t="s">
        <v>84</v>
      </c>
      <c r="H207" s="2">
        <v>7.94</v>
      </c>
    </row>
    <row r="208" spans="1:8" x14ac:dyDescent="0.25">
      <c r="A208">
        <v>1598</v>
      </c>
      <c r="B208" t="s">
        <v>27</v>
      </c>
      <c r="C208" t="s">
        <v>40</v>
      </c>
      <c r="D208" t="s">
        <v>28</v>
      </c>
      <c r="E208" s="1" t="s">
        <v>322</v>
      </c>
      <c r="F208" t="e">
        <f>VLOOKUP(Tabela14[[#This Row],[ID_COD]],Tabela2[],6,0)</f>
        <v>#N/A</v>
      </c>
      <c r="G208" t="s">
        <v>92</v>
      </c>
      <c r="H208" s="2">
        <v>10.3</v>
      </c>
    </row>
    <row r="209" spans="1:8" x14ac:dyDescent="0.25">
      <c r="B209" t="s">
        <v>27</v>
      </c>
      <c r="C209" t="s">
        <v>41</v>
      </c>
      <c r="D209" t="s">
        <v>28</v>
      </c>
      <c r="E209" s="1" t="s">
        <v>322</v>
      </c>
      <c r="F209" t="e">
        <f>VLOOKUP(Tabela14[[#This Row],[ID_COD]],Tabela2[],6,0)</f>
        <v>#N/A</v>
      </c>
      <c r="H209" s="2" t="e">
        <v>#N/A</v>
      </c>
    </row>
    <row r="210" spans="1:8" x14ac:dyDescent="0.25">
      <c r="A210">
        <v>1599</v>
      </c>
      <c r="B210" t="s">
        <v>27</v>
      </c>
      <c r="C210" t="s">
        <v>42</v>
      </c>
      <c r="D210" t="s">
        <v>28</v>
      </c>
      <c r="E210" s="1" t="s">
        <v>322</v>
      </c>
      <c r="F210" t="e">
        <f>VLOOKUP(Tabela14[[#This Row],[ID_COD]],Tabela2[],6,0)</f>
        <v>#N/A</v>
      </c>
      <c r="G210" t="s">
        <v>102</v>
      </c>
      <c r="H210" s="2">
        <v>14.74</v>
      </c>
    </row>
    <row r="211" spans="1:8" x14ac:dyDescent="0.25">
      <c r="B211" t="s">
        <v>27</v>
      </c>
      <c r="C211" t="s">
        <v>44</v>
      </c>
      <c r="D211" t="s">
        <v>43</v>
      </c>
      <c r="E211" s="1" t="s">
        <v>322</v>
      </c>
      <c r="F211" t="e">
        <f>VLOOKUP(Tabela14[[#This Row],[ID_COD]],Tabela2[],6,0)</f>
        <v>#N/A</v>
      </c>
      <c r="H211" s="2">
        <v>4.2699999999999996</v>
      </c>
    </row>
    <row r="212" spans="1:8" x14ac:dyDescent="0.25">
      <c r="A212">
        <v>1600</v>
      </c>
      <c r="B212" t="s">
        <v>27</v>
      </c>
      <c r="C212" t="s">
        <v>45</v>
      </c>
      <c r="D212" t="s">
        <v>43</v>
      </c>
      <c r="E212" s="1" t="s">
        <v>322</v>
      </c>
      <c r="F212" t="e">
        <f>VLOOKUP(Tabela14[[#This Row],[ID_COD]],Tabela2[],6,0)</f>
        <v>#N/A</v>
      </c>
      <c r="G212" t="s">
        <v>112</v>
      </c>
      <c r="H212" s="2">
        <v>4.6399999999999997</v>
      </c>
    </row>
    <row r="213" spans="1:8" x14ac:dyDescent="0.25">
      <c r="A213">
        <v>1601</v>
      </c>
      <c r="B213" t="s">
        <v>27</v>
      </c>
      <c r="C213" t="s">
        <v>46</v>
      </c>
      <c r="D213" t="s">
        <v>43</v>
      </c>
      <c r="E213" s="1" t="s">
        <v>322</v>
      </c>
      <c r="F213" t="e">
        <f>VLOOKUP(Tabela14[[#This Row],[ID_COD]],Tabela2[],6,0)</f>
        <v>#N/A</v>
      </c>
      <c r="G213" t="s">
        <v>74</v>
      </c>
      <c r="H213" s="2">
        <v>5.74</v>
      </c>
    </row>
    <row r="214" spans="1:8" x14ac:dyDescent="0.25">
      <c r="A214">
        <v>1602</v>
      </c>
      <c r="B214" t="s">
        <v>27</v>
      </c>
      <c r="C214" t="s">
        <v>47</v>
      </c>
      <c r="D214" t="s">
        <v>43</v>
      </c>
      <c r="E214" s="1" t="s">
        <v>322</v>
      </c>
      <c r="F214" t="e">
        <f>VLOOKUP(Tabela14[[#This Row],[ID_COD]],Tabela2[],6,0)</f>
        <v>#N/A</v>
      </c>
      <c r="G214" t="s">
        <v>139</v>
      </c>
      <c r="H214" s="2">
        <v>6.57</v>
      </c>
    </row>
    <row r="215" spans="1:8" x14ac:dyDescent="0.25">
      <c r="A215">
        <v>1603</v>
      </c>
      <c r="B215" t="s">
        <v>27</v>
      </c>
      <c r="C215" t="s">
        <v>48</v>
      </c>
      <c r="D215" t="s">
        <v>43</v>
      </c>
      <c r="E215" s="1" t="s">
        <v>322</v>
      </c>
      <c r="F215" t="e">
        <f>VLOOKUP(Tabela14[[#This Row],[ID_COD]],Tabela2[],6,0)</f>
        <v>#N/A</v>
      </c>
      <c r="G215" t="s">
        <v>89</v>
      </c>
      <c r="H215" s="2">
        <v>8.4499999999999993</v>
      </c>
    </row>
    <row r="216" spans="1:8" x14ac:dyDescent="0.25">
      <c r="B216" t="s">
        <v>27</v>
      </c>
      <c r="C216" t="s">
        <v>49</v>
      </c>
      <c r="D216" t="s">
        <v>43</v>
      </c>
      <c r="E216" s="1" t="s">
        <v>322</v>
      </c>
      <c r="F216" t="e">
        <f>VLOOKUP(Tabela14[[#This Row],[ID_COD]],Tabela2[],6,0)</f>
        <v>#N/A</v>
      </c>
      <c r="H216" s="2" t="e">
        <v>#N/A</v>
      </c>
    </row>
    <row r="217" spans="1:8" x14ac:dyDescent="0.25">
      <c r="A217">
        <v>1604</v>
      </c>
      <c r="B217" t="s">
        <v>27</v>
      </c>
      <c r="C217" t="s">
        <v>50</v>
      </c>
      <c r="D217" t="s">
        <v>43</v>
      </c>
      <c r="E217" s="1" t="s">
        <v>322</v>
      </c>
      <c r="F217" t="e">
        <f>VLOOKUP(Tabela14[[#This Row],[ID_COD]],Tabela2[],6,0)</f>
        <v>#N/A</v>
      </c>
      <c r="G217" t="s">
        <v>98</v>
      </c>
      <c r="H217" s="2">
        <v>12.58</v>
      </c>
    </row>
    <row r="218" spans="1:8" x14ac:dyDescent="0.25">
      <c r="B218" t="s">
        <v>27</v>
      </c>
      <c r="C218" t="s">
        <v>51</v>
      </c>
      <c r="D218" t="s">
        <v>43</v>
      </c>
      <c r="E218" s="1" t="s">
        <v>322</v>
      </c>
      <c r="F218" t="e">
        <f>VLOOKUP(Tabela14[[#This Row],[ID_COD]],Tabela2[],6,0)</f>
        <v>#N/A</v>
      </c>
      <c r="H218" s="2" t="e">
        <v>#N/A</v>
      </c>
    </row>
    <row r="219" spans="1:8" x14ac:dyDescent="0.25">
      <c r="A219">
        <v>1605</v>
      </c>
      <c r="B219" t="s">
        <v>27</v>
      </c>
      <c r="C219" t="s">
        <v>52</v>
      </c>
      <c r="D219" t="s">
        <v>43</v>
      </c>
      <c r="E219" s="1" t="s">
        <v>322</v>
      </c>
      <c r="F219" t="e">
        <f>VLOOKUP(Tabela14[[#This Row],[ID_COD]],Tabela2[],6,0)</f>
        <v>#N/A</v>
      </c>
      <c r="G219" t="s">
        <v>72</v>
      </c>
      <c r="H219" s="2">
        <v>6.41</v>
      </c>
    </row>
    <row r="220" spans="1:8" x14ac:dyDescent="0.25">
      <c r="A220">
        <v>1606</v>
      </c>
      <c r="B220" t="s">
        <v>27</v>
      </c>
      <c r="C220" t="s">
        <v>53</v>
      </c>
      <c r="D220" t="s">
        <v>43</v>
      </c>
      <c r="E220" s="1" t="s">
        <v>322</v>
      </c>
      <c r="F220" t="e">
        <f>VLOOKUP(Tabela14[[#This Row],[ID_COD]],Tabela2[],6,0)</f>
        <v>#N/A</v>
      </c>
      <c r="G220" t="s">
        <v>78</v>
      </c>
      <c r="H220" s="2">
        <v>7.92</v>
      </c>
    </row>
    <row r="221" spans="1:8" x14ac:dyDescent="0.25">
      <c r="A221">
        <v>1608</v>
      </c>
      <c r="B221" t="s">
        <v>27</v>
      </c>
      <c r="C221" t="s">
        <v>54</v>
      </c>
      <c r="D221" t="s">
        <v>43</v>
      </c>
      <c r="E221" s="1" t="s">
        <v>322</v>
      </c>
      <c r="F221" t="e">
        <f>VLOOKUP(Tabela14[[#This Row],[ID_COD]],Tabela2[],6,0)</f>
        <v>#N/A</v>
      </c>
      <c r="G221" t="s">
        <v>85</v>
      </c>
      <c r="H221" s="2">
        <v>9.3699999999999992</v>
      </c>
    </row>
    <row r="222" spans="1:8" x14ac:dyDescent="0.25">
      <c r="A222">
        <v>1609</v>
      </c>
      <c r="B222" t="s">
        <v>27</v>
      </c>
      <c r="C222" t="s">
        <v>55</v>
      </c>
      <c r="D222" t="s">
        <v>43</v>
      </c>
      <c r="E222" s="1" t="s">
        <v>322</v>
      </c>
      <c r="F222" t="e">
        <f>VLOOKUP(Tabela14[[#This Row],[ID_COD]],Tabela2[],6,0)</f>
        <v>#N/A</v>
      </c>
      <c r="G222" t="s">
        <v>93</v>
      </c>
      <c r="H222" s="2">
        <v>12.03</v>
      </c>
    </row>
    <row r="223" spans="1:8" x14ac:dyDescent="0.25">
      <c r="B223" t="s">
        <v>27</v>
      </c>
      <c r="C223" t="s">
        <v>56</v>
      </c>
      <c r="D223" t="s">
        <v>43</v>
      </c>
      <c r="E223" s="1" t="s">
        <v>322</v>
      </c>
      <c r="F223" t="e">
        <f>VLOOKUP(Tabela14[[#This Row],[ID_COD]],Tabela2[],6,0)</f>
        <v>#N/A</v>
      </c>
      <c r="H223" s="2" t="e">
        <v>#N/A</v>
      </c>
    </row>
    <row r="224" spans="1:8" x14ac:dyDescent="0.25">
      <c r="A224">
        <v>1610</v>
      </c>
      <c r="B224" t="s">
        <v>27</v>
      </c>
      <c r="C224" t="s">
        <v>57</v>
      </c>
      <c r="D224" t="s">
        <v>43</v>
      </c>
      <c r="E224" s="1" t="s">
        <v>322</v>
      </c>
      <c r="F224" t="e">
        <f>VLOOKUP(Tabela14[[#This Row],[ID_COD]],Tabela2[],6,0)</f>
        <v>#N/A</v>
      </c>
      <c r="G224" t="s">
        <v>103</v>
      </c>
      <c r="H224" s="2">
        <v>17.34</v>
      </c>
    </row>
    <row r="225" spans="1:8" x14ac:dyDescent="0.25">
      <c r="B225" t="s">
        <v>27</v>
      </c>
      <c r="C225" t="s">
        <v>29</v>
      </c>
      <c r="D225" t="s">
        <v>58</v>
      </c>
      <c r="E225" s="1" t="s">
        <v>322</v>
      </c>
      <c r="F225" t="e">
        <f>VLOOKUP(Tabela14[[#This Row],[ID_COD]],Tabela2[],6,0)</f>
        <v>#N/A</v>
      </c>
      <c r="H225" s="2">
        <v>3.66</v>
      </c>
    </row>
    <row r="226" spans="1:8" hidden="1" x14ac:dyDescent="0.25">
      <c r="A226">
        <v>163</v>
      </c>
      <c r="B226" t="s">
        <v>27</v>
      </c>
      <c r="C226" t="s">
        <v>30</v>
      </c>
      <c r="D226" t="s">
        <v>58</v>
      </c>
      <c r="E226" s="1" t="s">
        <v>322</v>
      </c>
      <c r="F226">
        <f>VLOOKUP(Tabela14[[#This Row],[ID_COD]],Tabela2[],6,0)</f>
        <v>110</v>
      </c>
      <c r="G226" t="s">
        <v>111</v>
      </c>
      <c r="H226" s="2">
        <v>3.97</v>
      </c>
    </row>
    <row r="227" spans="1:8" hidden="1" x14ac:dyDescent="0.25">
      <c r="A227">
        <v>480</v>
      </c>
      <c r="B227" t="s">
        <v>27</v>
      </c>
      <c r="C227" t="s">
        <v>31</v>
      </c>
      <c r="D227" t="s">
        <v>58</v>
      </c>
      <c r="E227" s="1" t="s">
        <v>322</v>
      </c>
      <c r="F227">
        <f>VLOOKUP(Tabela14[[#This Row],[ID_COD]],Tabela2[],6,0)</f>
        <v>110</v>
      </c>
      <c r="G227" t="s">
        <v>126</v>
      </c>
      <c r="H227" s="2">
        <v>4.91</v>
      </c>
    </row>
    <row r="228" spans="1:8" hidden="1" x14ac:dyDescent="0.25">
      <c r="A228">
        <v>164</v>
      </c>
      <c r="B228" t="s">
        <v>27</v>
      </c>
      <c r="C228" t="s">
        <v>32</v>
      </c>
      <c r="D228" t="s">
        <v>58</v>
      </c>
      <c r="E228" s="1" t="s">
        <v>322</v>
      </c>
      <c r="F228">
        <f>VLOOKUP(Tabela14[[#This Row],[ID_COD]],Tabela2[],6,0)</f>
        <v>90</v>
      </c>
      <c r="G228" t="s">
        <v>137</v>
      </c>
      <c r="H228" s="2">
        <v>5.63</v>
      </c>
    </row>
    <row r="229" spans="1:8" hidden="1" x14ac:dyDescent="0.25">
      <c r="A229">
        <v>165</v>
      </c>
      <c r="B229" t="s">
        <v>27</v>
      </c>
      <c r="C229" t="s">
        <v>33</v>
      </c>
      <c r="D229" t="s">
        <v>58</v>
      </c>
      <c r="E229" s="1" t="s">
        <v>322</v>
      </c>
      <c r="F229">
        <f>VLOOKUP(Tabela14[[#This Row],[ID_COD]],Tabela2[],6,0)</f>
        <v>70</v>
      </c>
      <c r="G229" t="s">
        <v>149</v>
      </c>
      <c r="H229" s="2">
        <v>7.25</v>
      </c>
    </row>
    <row r="230" spans="1:8" x14ac:dyDescent="0.25">
      <c r="B230" t="s">
        <v>27</v>
      </c>
      <c r="C230" t="s">
        <v>34</v>
      </c>
      <c r="D230" t="s">
        <v>58</v>
      </c>
      <c r="E230" s="1" t="s">
        <v>322</v>
      </c>
      <c r="F230" t="e">
        <f>VLOOKUP(Tabela14[[#This Row],[ID_COD]],Tabela2[],6,0)</f>
        <v>#N/A</v>
      </c>
      <c r="H230" s="2" t="e">
        <v>#N/A</v>
      </c>
    </row>
    <row r="231" spans="1:8" hidden="1" x14ac:dyDescent="0.25">
      <c r="A231">
        <v>166</v>
      </c>
      <c r="B231" t="s">
        <v>27</v>
      </c>
      <c r="C231" t="s">
        <v>35</v>
      </c>
      <c r="D231" t="s">
        <v>58</v>
      </c>
      <c r="E231" s="1" t="s">
        <v>322</v>
      </c>
      <c r="F231">
        <f>VLOOKUP(Tabela14[[#This Row],[ID_COD]],Tabela2[],6,0)</f>
        <v>50</v>
      </c>
      <c r="G231" t="s">
        <v>157</v>
      </c>
      <c r="H231" s="2">
        <v>10.74</v>
      </c>
    </row>
    <row r="232" spans="1:8" x14ac:dyDescent="0.25">
      <c r="B232" t="s">
        <v>27</v>
      </c>
      <c r="C232" t="s">
        <v>36</v>
      </c>
      <c r="D232" t="s">
        <v>58</v>
      </c>
      <c r="E232" s="1" t="s">
        <v>322</v>
      </c>
      <c r="F232" t="e">
        <f>VLOOKUP(Tabela14[[#This Row],[ID_COD]],Tabela2[],6,0)</f>
        <v>#N/A</v>
      </c>
      <c r="H232" s="2" t="e">
        <v>#N/A</v>
      </c>
    </row>
    <row r="233" spans="1:8" hidden="1" x14ac:dyDescent="0.25">
      <c r="A233">
        <v>171</v>
      </c>
      <c r="B233" t="s">
        <v>27</v>
      </c>
      <c r="C233" t="s">
        <v>37</v>
      </c>
      <c r="D233" t="s">
        <v>58</v>
      </c>
      <c r="E233" s="1" t="s">
        <v>322</v>
      </c>
      <c r="F233">
        <f>VLOOKUP(Tabela14[[#This Row],[ID_COD]],Tabela2[],6,0)</f>
        <v>100</v>
      </c>
      <c r="G233" t="s">
        <v>117</v>
      </c>
      <c r="H233" s="2">
        <v>5.38</v>
      </c>
    </row>
    <row r="234" spans="1:8" hidden="1" x14ac:dyDescent="0.25">
      <c r="A234">
        <v>478</v>
      </c>
      <c r="B234" t="s">
        <v>27</v>
      </c>
      <c r="C234" t="s">
        <v>38</v>
      </c>
      <c r="D234" t="s">
        <v>58</v>
      </c>
      <c r="E234" s="1" t="s">
        <v>322</v>
      </c>
      <c r="F234">
        <f>VLOOKUP(Tabela14[[#This Row],[ID_COD]],Tabela2[],6,0)</f>
        <v>90</v>
      </c>
      <c r="G234" t="s">
        <v>132</v>
      </c>
      <c r="H234" s="2">
        <v>6.78</v>
      </c>
    </row>
    <row r="235" spans="1:8" hidden="1" x14ac:dyDescent="0.25">
      <c r="A235">
        <v>172</v>
      </c>
      <c r="B235" t="s">
        <v>27</v>
      </c>
      <c r="C235" t="s">
        <v>39</v>
      </c>
      <c r="D235" t="s">
        <v>58</v>
      </c>
      <c r="E235" s="1" t="s">
        <v>322</v>
      </c>
      <c r="F235">
        <f>VLOOKUP(Tabela14[[#This Row],[ID_COD]],Tabela2[],6,0)</f>
        <v>75</v>
      </c>
      <c r="G235" t="s">
        <v>145</v>
      </c>
      <c r="H235" s="2">
        <v>7.94</v>
      </c>
    </row>
    <row r="236" spans="1:8" hidden="1" x14ac:dyDescent="0.25">
      <c r="A236">
        <v>173</v>
      </c>
      <c r="B236" t="s">
        <v>27</v>
      </c>
      <c r="C236" t="s">
        <v>40</v>
      </c>
      <c r="D236" t="s">
        <v>58</v>
      </c>
      <c r="E236" s="1" t="s">
        <v>322</v>
      </c>
      <c r="F236">
        <f>VLOOKUP(Tabela14[[#This Row],[ID_COD]],Tabela2[],6,0)</f>
        <v>60</v>
      </c>
      <c r="G236" t="s">
        <v>155</v>
      </c>
      <c r="H236" s="2">
        <v>10.3</v>
      </c>
    </row>
    <row r="237" spans="1:8" x14ac:dyDescent="0.25">
      <c r="B237" t="s">
        <v>27</v>
      </c>
      <c r="C237" t="s">
        <v>41</v>
      </c>
      <c r="D237" t="s">
        <v>58</v>
      </c>
      <c r="E237" s="1" t="s">
        <v>322</v>
      </c>
      <c r="F237" t="e">
        <f>VLOOKUP(Tabela14[[#This Row],[ID_COD]],Tabela2[],6,0)</f>
        <v>#N/A</v>
      </c>
      <c r="H237" s="2" t="e">
        <v>#N/A</v>
      </c>
    </row>
    <row r="238" spans="1:8" hidden="1" x14ac:dyDescent="0.25">
      <c r="A238">
        <v>174</v>
      </c>
      <c r="B238" t="s">
        <v>27</v>
      </c>
      <c r="C238" t="s">
        <v>42</v>
      </c>
      <c r="D238" t="s">
        <v>58</v>
      </c>
      <c r="E238" s="1" t="s">
        <v>322</v>
      </c>
      <c r="F238">
        <f>VLOOKUP(Tabela14[[#This Row],[ID_COD]],Tabela2[],6,0)</f>
        <v>40</v>
      </c>
      <c r="G238" t="s">
        <v>165</v>
      </c>
      <c r="H238" s="2">
        <v>14.74</v>
      </c>
    </row>
    <row r="239" spans="1:8" x14ac:dyDescent="0.25">
      <c r="B239" t="s">
        <v>27</v>
      </c>
      <c r="C239" t="s">
        <v>44</v>
      </c>
      <c r="D239" t="s">
        <v>59</v>
      </c>
      <c r="E239" s="1" t="s">
        <v>322</v>
      </c>
      <c r="F239" t="e">
        <f>VLOOKUP(Tabela14[[#This Row],[ID_COD]],Tabela2[],6,0)</f>
        <v>#N/A</v>
      </c>
      <c r="H239" s="2">
        <v>4.2699999999999996</v>
      </c>
    </row>
    <row r="240" spans="1:8" hidden="1" x14ac:dyDescent="0.25">
      <c r="A240">
        <v>159</v>
      </c>
      <c r="B240" t="s">
        <v>27</v>
      </c>
      <c r="C240" t="s">
        <v>45</v>
      </c>
      <c r="D240" t="s">
        <v>59</v>
      </c>
      <c r="E240" s="1" t="s">
        <v>322</v>
      </c>
      <c r="F240">
        <f>VLOOKUP(Tabela14[[#This Row],[ID_COD]],Tabela2[],6,0)</f>
        <v>110</v>
      </c>
      <c r="G240" t="s">
        <v>112</v>
      </c>
      <c r="H240" s="2">
        <v>4.6399999999999997</v>
      </c>
    </row>
    <row r="241" spans="1:8" hidden="1" x14ac:dyDescent="0.25">
      <c r="A241">
        <v>481</v>
      </c>
      <c r="B241" t="s">
        <v>27</v>
      </c>
      <c r="C241" t="s">
        <v>46</v>
      </c>
      <c r="D241" t="s">
        <v>59</v>
      </c>
      <c r="E241" s="1" t="s">
        <v>322</v>
      </c>
      <c r="F241">
        <f>VLOOKUP(Tabela14[[#This Row],[ID_COD]],Tabela2[],6,0)</f>
        <v>110</v>
      </c>
      <c r="G241" t="s">
        <v>127</v>
      </c>
      <c r="H241" s="2">
        <v>5.74</v>
      </c>
    </row>
    <row r="242" spans="1:8" hidden="1" x14ac:dyDescent="0.25">
      <c r="A242">
        <v>160</v>
      </c>
      <c r="B242" t="s">
        <v>27</v>
      </c>
      <c r="C242" t="s">
        <v>47</v>
      </c>
      <c r="D242" t="s">
        <v>59</v>
      </c>
      <c r="E242" s="1" t="s">
        <v>322</v>
      </c>
      <c r="F242">
        <f>VLOOKUP(Tabela14[[#This Row],[ID_COD]],Tabela2[],6,0)</f>
        <v>80</v>
      </c>
      <c r="G242" t="s">
        <v>139</v>
      </c>
      <c r="H242" s="2">
        <v>6.57</v>
      </c>
    </row>
    <row r="243" spans="1:8" hidden="1" x14ac:dyDescent="0.25">
      <c r="A243">
        <v>161</v>
      </c>
      <c r="B243" t="s">
        <v>27</v>
      </c>
      <c r="C243" t="s">
        <v>48</v>
      </c>
      <c r="D243" t="s">
        <v>59</v>
      </c>
      <c r="E243" s="1" t="s">
        <v>322</v>
      </c>
      <c r="F243">
        <f>VLOOKUP(Tabela14[[#This Row],[ID_COD]],Tabela2[],6,0)</f>
        <v>70</v>
      </c>
      <c r="G243" t="s">
        <v>152</v>
      </c>
      <c r="H243" s="2">
        <v>8.4499999999999993</v>
      </c>
    </row>
    <row r="244" spans="1:8" x14ac:dyDescent="0.25">
      <c r="B244" t="s">
        <v>27</v>
      </c>
      <c r="C244" t="s">
        <v>49</v>
      </c>
      <c r="D244" t="s">
        <v>59</v>
      </c>
      <c r="E244" s="1" t="s">
        <v>322</v>
      </c>
      <c r="F244" t="e">
        <f>VLOOKUP(Tabela14[[#This Row],[ID_COD]],Tabela2[],6,0)</f>
        <v>#N/A</v>
      </c>
      <c r="H244" s="2" t="e">
        <v>#N/A</v>
      </c>
    </row>
    <row r="245" spans="1:8" hidden="1" x14ac:dyDescent="0.25">
      <c r="A245">
        <v>162</v>
      </c>
      <c r="B245" t="s">
        <v>27</v>
      </c>
      <c r="C245" t="s">
        <v>50</v>
      </c>
      <c r="D245" t="s">
        <v>59</v>
      </c>
      <c r="E245" s="1" t="s">
        <v>322</v>
      </c>
      <c r="F245">
        <f>VLOOKUP(Tabela14[[#This Row],[ID_COD]],Tabela2[],6,0)</f>
        <v>45</v>
      </c>
      <c r="G245" t="s">
        <v>160</v>
      </c>
      <c r="H245" s="2">
        <v>12.58</v>
      </c>
    </row>
    <row r="246" spans="1:8" x14ac:dyDescent="0.25">
      <c r="B246" t="s">
        <v>27</v>
      </c>
      <c r="C246" t="s">
        <v>51</v>
      </c>
      <c r="D246" t="s">
        <v>59</v>
      </c>
      <c r="E246" s="1" t="s">
        <v>322</v>
      </c>
      <c r="F246" t="e">
        <f>VLOOKUP(Tabela14[[#This Row],[ID_COD]],Tabela2[],6,0)</f>
        <v>#N/A</v>
      </c>
      <c r="H246" s="2" t="e">
        <v>#N/A</v>
      </c>
    </row>
    <row r="247" spans="1:8" hidden="1" x14ac:dyDescent="0.25">
      <c r="A247">
        <v>167</v>
      </c>
      <c r="B247" t="s">
        <v>27</v>
      </c>
      <c r="C247" t="s">
        <v>52</v>
      </c>
      <c r="D247" t="s">
        <v>59</v>
      </c>
      <c r="E247" s="1" t="s">
        <v>322</v>
      </c>
      <c r="F247">
        <f>VLOOKUP(Tabela14[[#This Row],[ID_COD]],Tabela2[],6,0)</f>
        <v>90</v>
      </c>
      <c r="G247" t="s">
        <v>121</v>
      </c>
      <c r="H247" s="2">
        <v>6.41</v>
      </c>
    </row>
    <row r="248" spans="1:8" hidden="1" x14ac:dyDescent="0.25">
      <c r="A248">
        <v>479</v>
      </c>
      <c r="B248" t="s">
        <v>27</v>
      </c>
      <c r="C248" t="s">
        <v>53</v>
      </c>
      <c r="D248" t="s">
        <v>59</v>
      </c>
      <c r="E248" s="1" t="s">
        <v>322</v>
      </c>
      <c r="F248">
        <f>VLOOKUP(Tabela14[[#This Row],[ID_COD]],Tabela2[],6,0)</f>
        <v>80</v>
      </c>
      <c r="G248" t="s">
        <v>133</v>
      </c>
      <c r="H248" s="2">
        <v>7.92</v>
      </c>
    </row>
    <row r="249" spans="1:8" hidden="1" x14ac:dyDescent="0.25">
      <c r="A249">
        <v>168</v>
      </c>
      <c r="B249" t="s">
        <v>27</v>
      </c>
      <c r="C249" t="s">
        <v>54</v>
      </c>
      <c r="D249" t="s">
        <v>59</v>
      </c>
      <c r="E249" s="1" t="s">
        <v>322</v>
      </c>
      <c r="F249">
        <f>VLOOKUP(Tabela14[[#This Row],[ID_COD]],Tabela2[],6,0)</f>
        <v>70</v>
      </c>
      <c r="G249" t="s">
        <v>172</v>
      </c>
      <c r="H249" s="2">
        <v>9.3699999999999992</v>
      </c>
    </row>
    <row r="250" spans="1:8" hidden="1" x14ac:dyDescent="0.25">
      <c r="A250">
        <v>169</v>
      </c>
      <c r="B250" t="s">
        <v>27</v>
      </c>
      <c r="C250" t="s">
        <v>55</v>
      </c>
      <c r="D250" t="s">
        <v>59</v>
      </c>
      <c r="E250" s="1" t="s">
        <v>322</v>
      </c>
      <c r="F250">
        <f>VLOOKUP(Tabela14[[#This Row],[ID_COD]],Tabela2[],6,0)</f>
        <v>60</v>
      </c>
      <c r="G250" t="s">
        <v>173</v>
      </c>
      <c r="H250" s="2">
        <v>12.03</v>
      </c>
    </row>
    <row r="251" spans="1:8" x14ac:dyDescent="0.25">
      <c r="B251" t="s">
        <v>27</v>
      </c>
      <c r="C251" t="s">
        <v>56</v>
      </c>
      <c r="D251" t="s">
        <v>59</v>
      </c>
      <c r="E251" s="1" t="s">
        <v>322</v>
      </c>
      <c r="F251" t="e">
        <f>VLOOKUP(Tabela14[[#This Row],[ID_COD]],Tabela2[],6,0)</f>
        <v>#N/A</v>
      </c>
      <c r="H251" s="2" t="e">
        <v>#N/A</v>
      </c>
    </row>
    <row r="252" spans="1:8" hidden="1" x14ac:dyDescent="0.25">
      <c r="A252">
        <v>170</v>
      </c>
      <c r="B252" t="s">
        <v>27</v>
      </c>
      <c r="C252" t="s">
        <v>57</v>
      </c>
      <c r="D252" t="s">
        <v>59</v>
      </c>
      <c r="E252" s="1" t="s">
        <v>322</v>
      </c>
      <c r="F252">
        <f>VLOOKUP(Tabela14[[#This Row],[ID_COD]],Tabela2[],6,0)</f>
        <v>35</v>
      </c>
      <c r="G252" t="s">
        <v>167</v>
      </c>
      <c r="H252" s="2">
        <v>17.34</v>
      </c>
    </row>
    <row r="253" spans="1:8" x14ac:dyDescent="0.25">
      <c r="B253" t="s">
        <v>27</v>
      </c>
      <c r="C253" t="s">
        <v>29</v>
      </c>
      <c r="D253" t="s">
        <v>60</v>
      </c>
      <c r="E253" s="1" t="s">
        <v>322</v>
      </c>
      <c r="F253" t="e">
        <f>VLOOKUP(Tabela14[[#This Row],[ID_COD]],Tabela2[],6,0)</f>
        <v>#N/A</v>
      </c>
      <c r="H253" s="2">
        <v>3.66</v>
      </c>
    </row>
    <row r="254" spans="1:8" x14ac:dyDescent="0.25">
      <c r="A254">
        <v>1646</v>
      </c>
      <c r="B254" t="s">
        <v>27</v>
      </c>
      <c r="C254" t="s">
        <v>30</v>
      </c>
      <c r="D254" t="s">
        <v>60</v>
      </c>
      <c r="E254" s="1" t="s">
        <v>322</v>
      </c>
      <c r="F254" t="e">
        <f>VLOOKUP(Tabela14[[#This Row],[ID_COD]],Tabela2[],6,0)</f>
        <v>#N/A</v>
      </c>
      <c r="G254" t="s">
        <v>110</v>
      </c>
      <c r="H254" s="2">
        <v>3.97</v>
      </c>
    </row>
    <row r="255" spans="1:8" x14ac:dyDescent="0.25">
      <c r="A255">
        <v>1647</v>
      </c>
      <c r="B255" t="s">
        <v>27</v>
      </c>
      <c r="C255" t="s">
        <v>31</v>
      </c>
      <c r="D255" t="s">
        <v>60</v>
      </c>
      <c r="E255" s="1" t="s">
        <v>322</v>
      </c>
      <c r="F255" t="e">
        <f>VLOOKUP(Tabela14[[#This Row],[ID_COD]],Tabela2[],6,0)</f>
        <v>#N/A</v>
      </c>
      <c r="G255" t="s">
        <v>73</v>
      </c>
      <c r="H255" s="2">
        <v>4.91</v>
      </c>
    </row>
    <row r="256" spans="1:8" x14ac:dyDescent="0.25">
      <c r="A256">
        <v>1648</v>
      </c>
      <c r="B256" t="s">
        <v>27</v>
      </c>
      <c r="C256" t="s">
        <v>32</v>
      </c>
      <c r="D256" t="s">
        <v>60</v>
      </c>
      <c r="E256" s="1" t="s">
        <v>322</v>
      </c>
      <c r="F256" t="e">
        <f>VLOOKUP(Tabela14[[#This Row],[ID_COD]],Tabela2[],6,0)</f>
        <v>#N/A</v>
      </c>
      <c r="G256" t="s">
        <v>80</v>
      </c>
      <c r="H256" s="2">
        <v>5.63</v>
      </c>
    </row>
    <row r="257" spans="1:8" x14ac:dyDescent="0.25">
      <c r="A257">
        <v>1649</v>
      </c>
      <c r="B257" t="s">
        <v>27</v>
      </c>
      <c r="C257" t="s">
        <v>33</v>
      </c>
      <c r="D257" t="s">
        <v>60</v>
      </c>
      <c r="E257" s="1" t="s">
        <v>322</v>
      </c>
      <c r="F257" t="e">
        <f>VLOOKUP(Tabela14[[#This Row],[ID_COD]],Tabela2[],6,0)</f>
        <v>#N/A</v>
      </c>
      <c r="G257" t="s">
        <v>148</v>
      </c>
      <c r="H257" s="2">
        <v>7.25</v>
      </c>
    </row>
    <row r="258" spans="1:8" x14ac:dyDescent="0.25">
      <c r="B258" t="s">
        <v>27</v>
      </c>
      <c r="C258" t="s">
        <v>34</v>
      </c>
      <c r="D258" t="s">
        <v>60</v>
      </c>
      <c r="E258" s="1" t="s">
        <v>322</v>
      </c>
      <c r="F258" t="e">
        <f>VLOOKUP(Tabela14[[#This Row],[ID_COD]],Tabela2[],6,0)</f>
        <v>#N/A</v>
      </c>
      <c r="H258" s="2" t="e">
        <v>#N/A</v>
      </c>
    </row>
    <row r="259" spans="1:8" x14ac:dyDescent="0.25">
      <c r="A259">
        <v>1650</v>
      </c>
      <c r="B259" t="s">
        <v>27</v>
      </c>
      <c r="C259" t="s">
        <v>35</v>
      </c>
      <c r="D259" t="s">
        <v>60</v>
      </c>
      <c r="E259" s="1" t="s">
        <v>322</v>
      </c>
      <c r="F259" t="e">
        <f>VLOOKUP(Tabela14[[#This Row],[ID_COD]],Tabela2[],6,0)</f>
        <v>#N/A</v>
      </c>
      <c r="G259" t="s">
        <v>96</v>
      </c>
      <c r="H259" s="2">
        <v>10.74</v>
      </c>
    </row>
    <row r="260" spans="1:8" x14ac:dyDescent="0.25">
      <c r="B260" t="s">
        <v>27</v>
      </c>
      <c r="C260" t="s">
        <v>36</v>
      </c>
      <c r="D260" t="s">
        <v>60</v>
      </c>
      <c r="E260" s="1" t="s">
        <v>322</v>
      </c>
      <c r="F260" t="e">
        <f>VLOOKUP(Tabela14[[#This Row],[ID_COD]],Tabela2[],6,0)</f>
        <v>#N/A</v>
      </c>
      <c r="H260" s="2" t="e">
        <v>#N/A</v>
      </c>
    </row>
    <row r="261" spans="1:8" x14ac:dyDescent="0.25">
      <c r="A261">
        <v>1651</v>
      </c>
      <c r="B261" t="s">
        <v>27</v>
      </c>
      <c r="C261" t="s">
        <v>37</v>
      </c>
      <c r="D261" t="s">
        <v>60</v>
      </c>
      <c r="E261" s="1" t="s">
        <v>322</v>
      </c>
      <c r="F261" t="e">
        <f>VLOOKUP(Tabela14[[#This Row],[ID_COD]],Tabela2[],6,0)</f>
        <v>#N/A</v>
      </c>
      <c r="G261" t="s">
        <v>71</v>
      </c>
      <c r="H261" s="2">
        <v>5.38</v>
      </c>
    </row>
    <row r="262" spans="1:8" x14ac:dyDescent="0.25">
      <c r="A262">
        <v>1652</v>
      </c>
      <c r="B262" t="s">
        <v>27</v>
      </c>
      <c r="C262" t="s">
        <v>38</v>
      </c>
      <c r="D262" t="s">
        <v>60</v>
      </c>
      <c r="E262" s="1" t="s">
        <v>322</v>
      </c>
      <c r="F262" t="e">
        <f>VLOOKUP(Tabela14[[#This Row],[ID_COD]],Tabela2[],6,0)</f>
        <v>#N/A</v>
      </c>
      <c r="G262" t="s">
        <v>129</v>
      </c>
      <c r="H262" s="2">
        <v>6.78</v>
      </c>
    </row>
    <row r="263" spans="1:8" x14ac:dyDescent="0.25">
      <c r="A263">
        <v>1653</v>
      </c>
      <c r="B263" t="s">
        <v>27</v>
      </c>
      <c r="C263" t="s">
        <v>39</v>
      </c>
      <c r="D263" t="s">
        <v>60</v>
      </c>
      <c r="E263" s="1" t="s">
        <v>322</v>
      </c>
      <c r="F263" t="e">
        <f>VLOOKUP(Tabela14[[#This Row],[ID_COD]],Tabela2[],6,0)</f>
        <v>#N/A</v>
      </c>
      <c r="G263" t="s">
        <v>143</v>
      </c>
      <c r="H263" s="2">
        <v>7.94</v>
      </c>
    </row>
    <row r="264" spans="1:8" x14ac:dyDescent="0.25">
      <c r="A264">
        <v>1654</v>
      </c>
      <c r="B264" t="s">
        <v>27</v>
      </c>
      <c r="C264" t="s">
        <v>40</v>
      </c>
      <c r="D264" t="s">
        <v>60</v>
      </c>
      <c r="E264" s="1" t="s">
        <v>322</v>
      </c>
      <c r="F264" t="e">
        <f>VLOOKUP(Tabela14[[#This Row],[ID_COD]],Tabela2[],6,0)</f>
        <v>#N/A</v>
      </c>
      <c r="G264" t="s">
        <v>91</v>
      </c>
      <c r="H264" s="2">
        <v>10.3</v>
      </c>
    </row>
    <row r="265" spans="1:8" x14ac:dyDescent="0.25">
      <c r="B265" t="s">
        <v>27</v>
      </c>
      <c r="C265" t="s">
        <v>41</v>
      </c>
      <c r="D265" t="s">
        <v>60</v>
      </c>
      <c r="E265" s="1" t="s">
        <v>322</v>
      </c>
      <c r="F265" t="e">
        <f>VLOOKUP(Tabela14[[#This Row],[ID_COD]],Tabela2[],6,0)</f>
        <v>#N/A</v>
      </c>
      <c r="H265" s="2" t="e">
        <v>#N/A</v>
      </c>
    </row>
    <row r="266" spans="1:8" x14ac:dyDescent="0.25">
      <c r="A266">
        <v>1655</v>
      </c>
      <c r="B266" t="s">
        <v>27</v>
      </c>
      <c r="C266" t="s">
        <v>42</v>
      </c>
      <c r="D266" t="s">
        <v>60</v>
      </c>
      <c r="E266" s="1" t="s">
        <v>322</v>
      </c>
      <c r="F266" t="e">
        <f>VLOOKUP(Tabela14[[#This Row],[ID_COD]],Tabela2[],6,0)</f>
        <v>#N/A</v>
      </c>
      <c r="G266" t="s">
        <v>101</v>
      </c>
      <c r="H266" s="2">
        <v>14.74</v>
      </c>
    </row>
    <row r="267" spans="1:8" x14ac:dyDescent="0.25">
      <c r="A267">
        <v>1787</v>
      </c>
      <c r="B267" t="s">
        <v>27</v>
      </c>
      <c r="C267" t="s">
        <v>44</v>
      </c>
      <c r="D267" t="s">
        <v>61</v>
      </c>
      <c r="E267" s="1" t="s">
        <v>322</v>
      </c>
      <c r="F267" t="e">
        <f>VLOOKUP(Tabela14[[#This Row],[ID_COD]],Tabela2[],6,0)</f>
        <v>#N/A</v>
      </c>
      <c r="G267" t="s">
        <v>170</v>
      </c>
      <c r="H267" s="2">
        <v>4.2699999999999996</v>
      </c>
    </row>
    <row r="268" spans="1:8" hidden="1" x14ac:dyDescent="0.25">
      <c r="A268">
        <v>1656</v>
      </c>
      <c r="B268" t="s">
        <v>27</v>
      </c>
      <c r="C268" t="s">
        <v>45</v>
      </c>
      <c r="D268" t="s">
        <v>61</v>
      </c>
      <c r="E268" s="1" t="s">
        <v>322</v>
      </c>
      <c r="F268">
        <f>VLOOKUP(Tabela14[[#This Row],[ID_COD]],Tabela2[],6,0)</f>
        <v>110</v>
      </c>
      <c r="G268" t="s">
        <v>69</v>
      </c>
      <c r="H268" s="2">
        <v>4.6399999999999997</v>
      </c>
    </row>
    <row r="269" spans="1:8" x14ac:dyDescent="0.25">
      <c r="A269">
        <v>1657</v>
      </c>
      <c r="B269" t="s">
        <v>27</v>
      </c>
      <c r="C269" t="s">
        <v>46</v>
      </c>
      <c r="D269" t="s">
        <v>61</v>
      </c>
      <c r="E269" s="1" t="s">
        <v>322</v>
      </c>
      <c r="F269" t="e">
        <f>VLOOKUP(Tabela14[[#This Row],[ID_COD]],Tabela2[],6,0)</f>
        <v>#N/A</v>
      </c>
      <c r="G269" t="s">
        <v>73</v>
      </c>
      <c r="H269" s="2">
        <v>5.74</v>
      </c>
    </row>
    <row r="270" spans="1:8" x14ac:dyDescent="0.25">
      <c r="A270">
        <v>1658</v>
      </c>
      <c r="B270" t="s">
        <v>27</v>
      </c>
      <c r="C270" t="s">
        <v>47</v>
      </c>
      <c r="D270" t="s">
        <v>61</v>
      </c>
      <c r="E270" s="1" t="s">
        <v>322</v>
      </c>
      <c r="F270" t="e">
        <f>VLOOKUP(Tabela14[[#This Row],[ID_COD]],Tabela2[],6,0)</f>
        <v>#N/A</v>
      </c>
      <c r="G270" t="s">
        <v>80</v>
      </c>
      <c r="H270" s="2">
        <v>6.57</v>
      </c>
    </row>
    <row r="271" spans="1:8" x14ac:dyDescent="0.25">
      <c r="A271">
        <v>1659</v>
      </c>
      <c r="B271" t="s">
        <v>27</v>
      </c>
      <c r="C271" t="s">
        <v>48</v>
      </c>
      <c r="D271" t="s">
        <v>61</v>
      </c>
      <c r="E271" s="1" t="s">
        <v>322</v>
      </c>
      <c r="F271" t="e">
        <f>VLOOKUP(Tabela14[[#This Row],[ID_COD]],Tabela2[],6,0)</f>
        <v>#N/A</v>
      </c>
      <c r="G271" t="s">
        <v>87</v>
      </c>
      <c r="H271" s="2">
        <v>8.4499999999999993</v>
      </c>
    </row>
    <row r="272" spans="1:8" x14ac:dyDescent="0.25">
      <c r="B272" t="s">
        <v>27</v>
      </c>
      <c r="C272" t="s">
        <v>49</v>
      </c>
      <c r="D272" t="s">
        <v>61</v>
      </c>
      <c r="E272" s="1" t="s">
        <v>322</v>
      </c>
      <c r="F272" t="e">
        <f>VLOOKUP(Tabela14[[#This Row],[ID_COD]],Tabela2[],6,0)</f>
        <v>#N/A</v>
      </c>
      <c r="H272" s="2" t="e">
        <v>#N/A</v>
      </c>
    </row>
    <row r="273" spans="1:8" x14ac:dyDescent="0.25">
      <c r="A273">
        <v>1660</v>
      </c>
      <c r="B273" t="s">
        <v>27</v>
      </c>
      <c r="C273" t="s">
        <v>50</v>
      </c>
      <c r="D273" t="s">
        <v>61</v>
      </c>
      <c r="E273" s="1" t="s">
        <v>322</v>
      </c>
      <c r="F273" t="e">
        <f>VLOOKUP(Tabela14[[#This Row],[ID_COD]],Tabela2[],6,0)</f>
        <v>#N/A</v>
      </c>
      <c r="G273" t="s">
        <v>96</v>
      </c>
      <c r="H273" s="2">
        <v>12.58</v>
      </c>
    </row>
    <row r="274" spans="1:8" x14ac:dyDescent="0.25">
      <c r="B274" t="s">
        <v>27</v>
      </c>
      <c r="C274" t="s">
        <v>51</v>
      </c>
      <c r="D274" t="s">
        <v>61</v>
      </c>
      <c r="E274" s="1" t="s">
        <v>322</v>
      </c>
      <c r="F274" t="e">
        <f>VLOOKUP(Tabela14[[#This Row],[ID_COD]],Tabela2[],6,0)</f>
        <v>#N/A</v>
      </c>
      <c r="H274" s="2" t="e">
        <v>#N/A</v>
      </c>
    </row>
    <row r="275" spans="1:8" x14ac:dyDescent="0.25">
      <c r="A275">
        <v>1661</v>
      </c>
      <c r="B275" t="s">
        <v>27</v>
      </c>
      <c r="C275" t="s">
        <v>52</v>
      </c>
      <c r="D275" t="s">
        <v>61</v>
      </c>
      <c r="E275" s="1" t="s">
        <v>322</v>
      </c>
      <c r="F275" t="e">
        <f>VLOOKUP(Tabela14[[#This Row],[ID_COD]],Tabela2[],6,0)</f>
        <v>#N/A</v>
      </c>
      <c r="G275" t="s">
        <v>116</v>
      </c>
      <c r="H275" s="2">
        <v>6.41</v>
      </c>
    </row>
    <row r="276" spans="1:8" x14ac:dyDescent="0.25">
      <c r="A276">
        <v>1662</v>
      </c>
      <c r="B276" t="s">
        <v>27</v>
      </c>
      <c r="C276" t="s">
        <v>53</v>
      </c>
      <c r="D276" t="s">
        <v>61</v>
      </c>
      <c r="E276" s="1" t="s">
        <v>322</v>
      </c>
      <c r="F276" t="e">
        <f>VLOOKUP(Tabela14[[#This Row],[ID_COD]],Tabela2[],6,0)</f>
        <v>#N/A</v>
      </c>
      <c r="G276" t="s">
        <v>77</v>
      </c>
      <c r="H276" s="2">
        <v>7.92</v>
      </c>
    </row>
    <row r="277" spans="1:8" x14ac:dyDescent="0.25">
      <c r="A277">
        <v>1663</v>
      </c>
      <c r="B277" t="s">
        <v>27</v>
      </c>
      <c r="C277" t="s">
        <v>54</v>
      </c>
      <c r="D277" t="s">
        <v>61</v>
      </c>
      <c r="E277" s="1" t="s">
        <v>322</v>
      </c>
      <c r="F277" t="e">
        <f>VLOOKUP(Tabela14[[#This Row],[ID_COD]],Tabela2[],6,0)</f>
        <v>#N/A</v>
      </c>
      <c r="G277" t="s">
        <v>104</v>
      </c>
      <c r="H277" s="2">
        <v>9.3699999999999992</v>
      </c>
    </row>
    <row r="278" spans="1:8" x14ac:dyDescent="0.25">
      <c r="A278">
        <v>1664</v>
      </c>
      <c r="B278" t="s">
        <v>27</v>
      </c>
      <c r="C278" t="s">
        <v>55</v>
      </c>
      <c r="D278" t="s">
        <v>61</v>
      </c>
      <c r="E278" s="1" t="s">
        <v>322</v>
      </c>
      <c r="F278" t="e">
        <f>VLOOKUP(Tabela14[[#This Row],[ID_COD]],Tabela2[],6,0)</f>
        <v>#N/A</v>
      </c>
      <c r="G278" t="s">
        <v>105</v>
      </c>
      <c r="H278" s="2">
        <v>12.03</v>
      </c>
    </row>
    <row r="279" spans="1:8" x14ac:dyDescent="0.25">
      <c r="B279" t="s">
        <v>27</v>
      </c>
      <c r="C279" t="s">
        <v>56</v>
      </c>
      <c r="D279" t="s">
        <v>61</v>
      </c>
      <c r="E279" s="1" t="s">
        <v>322</v>
      </c>
      <c r="F279" t="e">
        <f>VLOOKUP(Tabela14[[#This Row],[ID_COD]],Tabela2[],6,0)</f>
        <v>#N/A</v>
      </c>
      <c r="H279" s="2" t="e">
        <v>#N/A</v>
      </c>
    </row>
    <row r="280" spans="1:8" x14ac:dyDescent="0.25">
      <c r="A280">
        <v>1665</v>
      </c>
      <c r="B280" t="s">
        <v>27</v>
      </c>
      <c r="C280" t="s">
        <v>57</v>
      </c>
      <c r="D280" t="s">
        <v>61</v>
      </c>
      <c r="E280" s="1" t="s">
        <v>322</v>
      </c>
      <c r="F280" t="e">
        <f>VLOOKUP(Tabela14[[#This Row],[ID_COD]],Tabela2[],6,0)</f>
        <v>#N/A</v>
      </c>
      <c r="G280" t="s">
        <v>161</v>
      </c>
      <c r="H280" s="2">
        <v>17.34</v>
      </c>
    </row>
    <row r="281" spans="1:8" x14ac:dyDescent="0.25">
      <c r="B281" t="s">
        <v>62</v>
      </c>
      <c r="C281" t="s">
        <v>29</v>
      </c>
      <c r="D281" t="s">
        <v>28</v>
      </c>
      <c r="E281" s="1" t="s">
        <v>322</v>
      </c>
      <c r="F281" t="e">
        <f>VLOOKUP(Tabela14[[#This Row],[ID_COD]],Tabela2[],6,0)</f>
        <v>#N/A</v>
      </c>
      <c r="H281" s="2" t="e">
        <v>#N/A</v>
      </c>
    </row>
    <row r="282" spans="1:8" x14ac:dyDescent="0.25">
      <c r="A282">
        <v>1616</v>
      </c>
      <c r="B282" t="s">
        <v>62</v>
      </c>
      <c r="C282" t="s">
        <v>30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70</v>
      </c>
      <c r="H282" s="2">
        <v>3.85</v>
      </c>
    </row>
    <row r="283" spans="1:8" x14ac:dyDescent="0.25">
      <c r="A283">
        <v>1617</v>
      </c>
      <c r="B283" t="s">
        <v>62</v>
      </c>
      <c r="C283" t="s">
        <v>31</v>
      </c>
      <c r="D283" t="s">
        <v>28</v>
      </c>
      <c r="E283" s="1" t="s">
        <v>322</v>
      </c>
      <c r="F283" t="e">
        <f>VLOOKUP(Tabela14[[#This Row],[ID_COD]],Tabela2[],6,0)</f>
        <v>#N/A</v>
      </c>
      <c r="G283" t="s">
        <v>75</v>
      </c>
      <c r="H283" s="2">
        <v>4.76</v>
      </c>
    </row>
    <row r="284" spans="1:8" x14ac:dyDescent="0.25">
      <c r="A284">
        <v>1618</v>
      </c>
      <c r="B284" t="s">
        <v>62</v>
      </c>
      <c r="C284" t="s">
        <v>32</v>
      </c>
      <c r="D284" t="s">
        <v>28</v>
      </c>
      <c r="E284" s="1" t="s">
        <v>322</v>
      </c>
      <c r="F284" t="e">
        <f>VLOOKUP(Tabela14[[#This Row],[ID_COD]],Tabela2[],6,0)</f>
        <v>#N/A</v>
      </c>
      <c r="G284" t="s">
        <v>140</v>
      </c>
      <c r="H284" s="2">
        <v>5.47</v>
      </c>
    </row>
    <row r="285" spans="1:8" x14ac:dyDescent="0.25">
      <c r="A285">
        <v>1619</v>
      </c>
      <c r="B285" t="s">
        <v>62</v>
      </c>
      <c r="C285" t="s">
        <v>33</v>
      </c>
      <c r="D285" t="s">
        <v>28</v>
      </c>
      <c r="E285" s="1" t="s">
        <v>322</v>
      </c>
      <c r="F285" t="e">
        <f>VLOOKUP(Tabela14[[#This Row],[ID_COD]],Tabela2[],6,0)</f>
        <v>#N/A</v>
      </c>
      <c r="G285" t="s">
        <v>153</v>
      </c>
      <c r="H285" s="2">
        <v>7.03</v>
      </c>
    </row>
    <row r="286" spans="1:8" x14ac:dyDescent="0.25">
      <c r="B286" t="s">
        <v>62</v>
      </c>
      <c r="C286" t="s">
        <v>34</v>
      </c>
      <c r="D286" t="s">
        <v>28</v>
      </c>
      <c r="E286" s="1" t="s">
        <v>322</v>
      </c>
      <c r="F286" t="e">
        <f>VLOOKUP(Tabela14[[#This Row],[ID_COD]],Tabela2[],6,0)</f>
        <v>#N/A</v>
      </c>
      <c r="H286" s="2" t="e">
        <v>#N/A</v>
      </c>
    </row>
    <row r="287" spans="1:8" x14ac:dyDescent="0.25">
      <c r="A287">
        <v>1620</v>
      </c>
      <c r="B287" t="s">
        <v>62</v>
      </c>
      <c r="C287" t="s">
        <v>35</v>
      </c>
      <c r="D287" t="s">
        <v>28</v>
      </c>
      <c r="E287" s="1" t="s">
        <v>322</v>
      </c>
      <c r="F287" t="e">
        <f>VLOOKUP(Tabela14[[#This Row],[ID_COD]],Tabela2[],6,0)</f>
        <v>#N/A</v>
      </c>
      <c r="G287" t="s">
        <v>99</v>
      </c>
      <c r="H287" s="2">
        <v>10.42</v>
      </c>
    </row>
    <row r="288" spans="1:8" x14ac:dyDescent="0.25">
      <c r="B288" t="s">
        <v>62</v>
      </c>
      <c r="C288" t="s">
        <v>36</v>
      </c>
      <c r="D288" t="s">
        <v>28</v>
      </c>
      <c r="E288" s="1" t="s">
        <v>322</v>
      </c>
      <c r="F288" t="e">
        <f>VLOOKUP(Tabela14[[#This Row],[ID_COD]],Tabela2[],6,0)</f>
        <v>#N/A</v>
      </c>
      <c r="H288" s="2" t="e">
        <v>#N/A</v>
      </c>
    </row>
    <row r="289" spans="1:8" x14ac:dyDescent="0.25">
      <c r="A289">
        <v>1611</v>
      </c>
      <c r="B289" t="s">
        <v>62</v>
      </c>
      <c r="C289" t="s">
        <v>37</v>
      </c>
      <c r="D289" t="s">
        <v>28</v>
      </c>
      <c r="E289" s="1" t="s">
        <v>322</v>
      </c>
      <c r="F289" t="e">
        <f>VLOOKUP(Tabela14[[#This Row],[ID_COD]],Tabela2[],6,0)</f>
        <v>#N/A</v>
      </c>
      <c r="G289" t="s">
        <v>122</v>
      </c>
      <c r="H289" s="2">
        <v>5.21</v>
      </c>
    </row>
    <row r="290" spans="1:8" x14ac:dyDescent="0.25">
      <c r="A290">
        <v>1612</v>
      </c>
      <c r="B290" t="s">
        <v>62</v>
      </c>
      <c r="C290" t="s">
        <v>38</v>
      </c>
      <c r="D290" t="s">
        <v>28</v>
      </c>
      <c r="E290" s="1" t="s">
        <v>322</v>
      </c>
      <c r="F290" t="e">
        <f>VLOOKUP(Tabela14[[#This Row],[ID_COD]],Tabela2[],6,0)</f>
        <v>#N/A</v>
      </c>
      <c r="G290" t="s">
        <v>79</v>
      </c>
      <c r="H290" s="2">
        <v>6.58</v>
      </c>
    </row>
    <row r="291" spans="1:8" x14ac:dyDescent="0.25">
      <c r="A291">
        <v>1613</v>
      </c>
      <c r="B291" t="s">
        <v>62</v>
      </c>
      <c r="C291" t="s">
        <v>39</v>
      </c>
      <c r="D291" t="s">
        <v>28</v>
      </c>
      <c r="E291" s="1" t="s">
        <v>322</v>
      </c>
      <c r="F291" t="e">
        <f>VLOOKUP(Tabela14[[#This Row],[ID_COD]],Tabela2[],6,0)</f>
        <v>#N/A</v>
      </c>
      <c r="G291" t="s">
        <v>86</v>
      </c>
      <c r="H291" s="2">
        <v>7.7</v>
      </c>
    </row>
    <row r="292" spans="1:8" x14ac:dyDescent="0.25">
      <c r="A292">
        <v>1614</v>
      </c>
      <c r="B292" t="s">
        <v>62</v>
      </c>
      <c r="C292" t="s">
        <v>40</v>
      </c>
      <c r="D292" t="s">
        <v>28</v>
      </c>
      <c r="E292" s="1" t="s">
        <v>322</v>
      </c>
      <c r="F292" t="e">
        <f>VLOOKUP(Tabela14[[#This Row],[ID_COD]],Tabela2[],6,0)</f>
        <v>#N/A</v>
      </c>
      <c r="G292" t="s">
        <v>94</v>
      </c>
      <c r="H292" s="2">
        <v>9.99</v>
      </c>
    </row>
    <row r="293" spans="1:8" x14ac:dyDescent="0.25">
      <c r="B293" t="s">
        <v>62</v>
      </c>
      <c r="C293" t="s">
        <v>41</v>
      </c>
      <c r="D293" t="s">
        <v>28</v>
      </c>
      <c r="E293" s="1" t="s">
        <v>322</v>
      </c>
      <c r="F293" t="e">
        <f>VLOOKUP(Tabela14[[#This Row],[ID_COD]],Tabela2[],6,0)</f>
        <v>#N/A</v>
      </c>
      <c r="H293" s="2" t="e">
        <v>#N/A</v>
      </c>
    </row>
    <row r="294" spans="1:8" x14ac:dyDescent="0.25">
      <c r="A294">
        <v>1615</v>
      </c>
      <c r="B294" t="s">
        <v>62</v>
      </c>
      <c r="C294" t="s">
        <v>42</v>
      </c>
      <c r="D294" t="s">
        <v>28</v>
      </c>
      <c r="E294" s="1" t="s">
        <v>322</v>
      </c>
      <c r="F294" t="e">
        <f>VLOOKUP(Tabela14[[#This Row],[ID_COD]],Tabela2[],6,0)</f>
        <v>#N/A</v>
      </c>
      <c r="G294" t="s">
        <v>168</v>
      </c>
      <c r="H294" s="2">
        <v>14.3</v>
      </c>
    </row>
    <row r="295" spans="1:8" x14ac:dyDescent="0.25">
      <c r="B295" t="s">
        <v>62</v>
      </c>
      <c r="C295" t="s">
        <v>44</v>
      </c>
      <c r="D295" t="s">
        <v>43</v>
      </c>
      <c r="E295" s="1" t="s">
        <v>322</v>
      </c>
      <c r="F295" t="e">
        <f>VLOOKUP(Tabela14[[#This Row],[ID_COD]],Tabela2[],6,0)</f>
        <v>#N/A</v>
      </c>
      <c r="H295" s="2">
        <v>4.2699999999999996</v>
      </c>
    </row>
    <row r="296" spans="1:8" x14ac:dyDescent="0.25">
      <c r="A296">
        <v>1621</v>
      </c>
      <c r="B296" t="s">
        <v>62</v>
      </c>
      <c r="C296" t="s">
        <v>45</v>
      </c>
      <c r="D296" t="s">
        <v>43</v>
      </c>
      <c r="E296" s="1" t="s">
        <v>322</v>
      </c>
      <c r="F296" t="e">
        <f>VLOOKUP(Tabela14[[#This Row],[ID_COD]],Tabela2[],6,0)</f>
        <v>#N/A</v>
      </c>
      <c r="G296" t="s">
        <v>113</v>
      </c>
      <c r="H296" s="2">
        <v>4.6399999999999997</v>
      </c>
    </row>
    <row r="297" spans="1:8" x14ac:dyDescent="0.25">
      <c r="A297">
        <v>1622</v>
      </c>
      <c r="B297" t="s">
        <v>62</v>
      </c>
      <c r="C297" t="s">
        <v>46</v>
      </c>
      <c r="D297" t="s">
        <v>43</v>
      </c>
      <c r="E297" s="1" t="s">
        <v>322</v>
      </c>
      <c r="F297" t="e">
        <f>VLOOKUP(Tabela14[[#This Row],[ID_COD]],Tabela2[],6,0)</f>
        <v>#N/A</v>
      </c>
      <c r="G297" t="s">
        <v>76</v>
      </c>
      <c r="H297" s="2">
        <v>5.74</v>
      </c>
    </row>
    <row r="298" spans="1:8" x14ac:dyDescent="0.25">
      <c r="A298">
        <v>1623</v>
      </c>
      <c r="B298" t="s">
        <v>62</v>
      </c>
      <c r="C298" t="s">
        <v>47</v>
      </c>
      <c r="D298" t="s">
        <v>43</v>
      </c>
      <c r="E298" s="1" t="s">
        <v>322</v>
      </c>
      <c r="F298" t="e">
        <f>VLOOKUP(Tabela14[[#This Row],[ID_COD]],Tabela2[],6,0)</f>
        <v>#N/A</v>
      </c>
      <c r="G298" t="s">
        <v>82</v>
      </c>
      <c r="H298" s="2">
        <v>6.57</v>
      </c>
    </row>
    <row r="299" spans="1:8" x14ac:dyDescent="0.25">
      <c r="A299">
        <v>1624</v>
      </c>
      <c r="B299" t="s">
        <v>62</v>
      </c>
      <c r="C299" t="s">
        <v>48</v>
      </c>
      <c r="D299" t="s">
        <v>43</v>
      </c>
      <c r="E299" s="1" t="s">
        <v>322</v>
      </c>
      <c r="F299" t="e">
        <f>VLOOKUP(Tabela14[[#This Row],[ID_COD]],Tabela2[],6,0)</f>
        <v>#N/A</v>
      </c>
      <c r="G299" t="s">
        <v>90</v>
      </c>
      <c r="H299" s="2">
        <v>8.4499999999999993</v>
      </c>
    </row>
    <row r="300" spans="1:8" x14ac:dyDescent="0.25">
      <c r="B300" t="s">
        <v>62</v>
      </c>
      <c r="C300" t="s">
        <v>49</v>
      </c>
      <c r="D300" t="s">
        <v>43</v>
      </c>
      <c r="E300" s="1" t="s">
        <v>322</v>
      </c>
      <c r="F300" t="e">
        <f>VLOOKUP(Tabela14[[#This Row],[ID_COD]],Tabela2[],6,0)</f>
        <v>#N/A</v>
      </c>
      <c r="H300" s="2" t="e">
        <v>#N/A</v>
      </c>
    </row>
    <row r="301" spans="1:8" x14ac:dyDescent="0.25">
      <c r="A301">
        <v>1625</v>
      </c>
      <c r="B301" t="s">
        <v>62</v>
      </c>
      <c r="C301" t="s">
        <v>50</v>
      </c>
      <c r="D301" t="s">
        <v>43</v>
      </c>
      <c r="E301" s="1" t="s">
        <v>322</v>
      </c>
      <c r="F301" t="e">
        <f>VLOOKUP(Tabela14[[#This Row],[ID_COD]],Tabela2[],6,0)</f>
        <v>#N/A</v>
      </c>
      <c r="G301" t="s">
        <v>100</v>
      </c>
      <c r="H301" s="2">
        <v>12.58</v>
      </c>
    </row>
    <row r="302" spans="1:8" x14ac:dyDescent="0.25">
      <c r="B302" t="s">
        <v>62</v>
      </c>
      <c r="C302" t="s">
        <v>51</v>
      </c>
      <c r="D302" t="s">
        <v>43</v>
      </c>
      <c r="E302" s="1" t="s">
        <v>322</v>
      </c>
      <c r="F302" t="e">
        <f>VLOOKUP(Tabela14[[#This Row],[ID_COD]],Tabela2[],6,0)</f>
        <v>#N/A</v>
      </c>
      <c r="H302" s="2" t="e">
        <v>#N/A</v>
      </c>
    </row>
    <row r="303" spans="1:8" x14ac:dyDescent="0.25">
      <c r="A303">
        <v>1626</v>
      </c>
      <c r="B303" t="s">
        <v>62</v>
      </c>
      <c r="C303" t="s">
        <v>52</v>
      </c>
      <c r="D303" t="s">
        <v>43</v>
      </c>
      <c r="E303" s="1" t="s">
        <v>322</v>
      </c>
      <c r="F303" t="e">
        <f>VLOOKUP(Tabela14[[#This Row],[ID_COD]],Tabela2[],6,0)</f>
        <v>#N/A</v>
      </c>
      <c r="G303" t="s">
        <v>123</v>
      </c>
      <c r="H303" s="2">
        <v>6.41</v>
      </c>
    </row>
    <row r="304" spans="1:8" x14ac:dyDescent="0.25">
      <c r="A304">
        <v>1627</v>
      </c>
      <c r="B304" t="s">
        <v>62</v>
      </c>
      <c r="C304" t="s">
        <v>53</v>
      </c>
      <c r="D304" t="s">
        <v>43</v>
      </c>
      <c r="E304" s="1" t="s">
        <v>322</v>
      </c>
      <c r="F304" t="e">
        <f>VLOOKUP(Tabela14[[#This Row],[ID_COD]],Tabela2[],6,0)</f>
        <v>#N/A</v>
      </c>
      <c r="G304" t="s">
        <v>134</v>
      </c>
      <c r="H304" s="2">
        <v>7.92</v>
      </c>
    </row>
    <row r="305" spans="1:8" x14ac:dyDescent="0.25">
      <c r="A305">
        <v>1628</v>
      </c>
      <c r="B305" t="s">
        <v>62</v>
      </c>
      <c r="C305" t="s">
        <v>54</v>
      </c>
      <c r="D305" t="s">
        <v>43</v>
      </c>
      <c r="E305" s="1" t="s">
        <v>322</v>
      </c>
      <c r="F305" t="e">
        <f>VLOOKUP(Tabela14[[#This Row],[ID_COD]],Tabela2[],6,0)</f>
        <v>#N/A</v>
      </c>
      <c r="G305" t="s">
        <v>147</v>
      </c>
      <c r="H305" s="2">
        <v>9.3699999999999992</v>
      </c>
    </row>
    <row r="306" spans="1:8" x14ac:dyDescent="0.25">
      <c r="A306">
        <v>1629</v>
      </c>
      <c r="B306" t="s">
        <v>62</v>
      </c>
      <c r="C306" t="s">
        <v>55</v>
      </c>
      <c r="D306" t="s">
        <v>43</v>
      </c>
      <c r="E306" s="1" t="s">
        <v>322</v>
      </c>
      <c r="F306" t="e">
        <f>VLOOKUP(Tabela14[[#This Row],[ID_COD]],Tabela2[],6,0)</f>
        <v>#N/A</v>
      </c>
      <c r="G306" t="s">
        <v>95</v>
      </c>
      <c r="H306" s="2">
        <v>12.03</v>
      </c>
    </row>
    <row r="307" spans="1:8" x14ac:dyDescent="0.25">
      <c r="B307" t="s">
        <v>62</v>
      </c>
      <c r="C307" t="s">
        <v>56</v>
      </c>
      <c r="D307" t="s">
        <v>43</v>
      </c>
      <c r="E307" s="1" t="s">
        <v>322</v>
      </c>
      <c r="F307" t="e">
        <f>VLOOKUP(Tabela14[[#This Row],[ID_COD]],Tabela2[],6,0)</f>
        <v>#N/A</v>
      </c>
      <c r="H307" s="2" t="e">
        <v>#N/A</v>
      </c>
    </row>
    <row r="308" spans="1:8" x14ac:dyDescent="0.25">
      <c r="A308">
        <v>1630</v>
      </c>
      <c r="B308" t="s">
        <v>62</v>
      </c>
      <c r="C308" t="s">
        <v>57</v>
      </c>
      <c r="D308" t="s">
        <v>43</v>
      </c>
      <c r="E308" s="1" t="s">
        <v>322</v>
      </c>
      <c r="F308" t="e">
        <f>VLOOKUP(Tabela14[[#This Row],[ID_COD]],Tabela2[],6,0)</f>
        <v>#N/A</v>
      </c>
      <c r="G308" t="s">
        <v>169</v>
      </c>
      <c r="H308" s="2">
        <v>17.34</v>
      </c>
    </row>
    <row r="309" spans="1:8" x14ac:dyDescent="0.25">
      <c r="B309" t="s">
        <v>62</v>
      </c>
      <c r="C309" t="s">
        <v>29</v>
      </c>
      <c r="D309" t="s">
        <v>58</v>
      </c>
      <c r="E309" s="1" t="s">
        <v>322</v>
      </c>
      <c r="F309" t="e">
        <f>VLOOKUP(Tabela14[[#This Row],[ID_COD]],Tabela2[],6,0)</f>
        <v>#N/A</v>
      </c>
      <c r="H309">
        <v>3.66</v>
      </c>
    </row>
    <row r="310" spans="1:8" hidden="1" x14ac:dyDescent="0.25">
      <c r="A310">
        <v>414</v>
      </c>
      <c r="B310" t="s">
        <v>62</v>
      </c>
      <c r="C310" t="s">
        <v>30</v>
      </c>
      <c r="D310" t="s">
        <v>58</v>
      </c>
      <c r="E310" s="1" t="s">
        <v>322</v>
      </c>
      <c r="F310">
        <f>VLOOKUP(Tabela14[[#This Row],[ID_COD]],Tabela2[],6,0)</f>
        <v>110</v>
      </c>
      <c r="G310" t="s">
        <v>114</v>
      </c>
      <c r="H310" s="2">
        <v>3.85</v>
      </c>
    </row>
    <row r="311" spans="1:8" hidden="1" x14ac:dyDescent="0.25">
      <c r="A311">
        <v>476</v>
      </c>
      <c r="B311" t="s">
        <v>62</v>
      </c>
      <c r="C311" t="s">
        <v>31</v>
      </c>
      <c r="D311" t="s">
        <v>58</v>
      </c>
      <c r="E311" s="1" t="s">
        <v>322</v>
      </c>
      <c r="F311">
        <f>VLOOKUP(Tabela14[[#This Row],[ID_COD]],Tabela2[],6,0)</f>
        <v>86</v>
      </c>
      <c r="G311" t="s">
        <v>125</v>
      </c>
      <c r="H311">
        <v>4.91</v>
      </c>
    </row>
    <row r="312" spans="1:8" hidden="1" x14ac:dyDescent="0.25">
      <c r="A312">
        <v>419</v>
      </c>
      <c r="B312" t="s">
        <v>62</v>
      </c>
      <c r="C312" t="s">
        <v>32</v>
      </c>
      <c r="D312" t="s">
        <v>58</v>
      </c>
      <c r="E312" s="1" t="s">
        <v>322</v>
      </c>
      <c r="F312">
        <f>VLOOKUP(Tabela14[[#This Row],[ID_COD]],Tabela2[],6,0)</f>
        <v>70</v>
      </c>
      <c r="G312" t="s">
        <v>136</v>
      </c>
      <c r="H312" s="2">
        <v>5.47</v>
      </c>
    </row>
    <row r="313" spans="1:8" hidden="1" x14ac:dyDescent="0.25">
      <c r="A313">
        <v>423</v>
      </c>
      <c r="B313" t="s">
        <v>62</v>
      </c>
      <c r="C313" t="s">
        <v>33</v>
      </c>
      <c r="D313" t="s">
        <v>58</v>
      </c>
      <c r="E313" s="1" t="s">
        <v>322</v>
      </c>
      <c r="F313">
        <f>VLOOKUP(Tabela14[[#This Row],[ID_COD]],Tabela2[],6,0)</f>
        <v>52</v>
      </c>
      <c r="G313" t="s">
        <v>150</v>
      </c>
      <c r="H313" s="2">
        <v>7.03</v>
      </c>
    </row>
    <row r="314" spans="1:8" x14ac:dyDescent="0.25">
      <c r="B314" t="s">
        <v>62</v>
      </c>
      <c r="C314" t="s">
        <v>34</v>
      </c>
      <c r="D314" t="s">
        <v>58</v>
      </c>
      <c r="E314" s="1" t="s">
        <v>322</v>
      </c>
      <c r="F314" t="e">
        <f>VLOOKUP(Tabela14[[#This Row],[ID_COD]],Tabela2[],6,0)</f>
        <v>#N/A</v>
      </c>
      <c r="H314" s="2" t="e">
        <v>#N/A</v>
      </c>
    </row>
    <row r="315" spans="1:8" hidden="1" x14ac:dyDescent="0.25">
      <c r="A315">
        <v>427</v>
      </c>
      <c r="B315" t="s">
        <v>62</v>
      </c>
      <c r="C315" t="s">
        <v>35</v>
      </c>
      <c r="D315" t="s">
        <v>58</v>
      </c>
      <c r="E315" s="1" t="s">
        <v>322</v>
      </c>
      <c r="F315">
        <f>VLOOKUP(Tabela14[[#This Row],[ID_COD]],Tabela2[],6,0)</f>
        <v>42</v>
      </c>
      <c r="G315" t="s">
        <v>158</v>
      </c>
      <c r="H315">
        <v>10.74</v>
      </c>
    </row>
    <row r="316" spans="1:8" x14ac:dyDescent="0.25">
      <c r="B316" t="s">
        <v>62</v>
      </c>
      <c r="C316" t="s">
        <v>36</v>
      </c>
      <c r="D316" t="s">
        <v>58</v>
      </c>
      <c r="E316" s="1" t="s">
        <v>322</v>
      </c>
      <c r="F316" t="e">
        <f>VLOOKUP(Tabela14[[#This Row],[ID_COD]],Tabela2[],6,0)</f>
        <v>#N/A</v>
      </c>
      <c r="H316" s="2" t="e">
        <v>#N/A</v>
      </c>
    </row>
    <row r="317" spans="1:8" hidden="1" x14ac:dyDescent="0.25">
      <c r="A317">
        <v>417</v>
      </c>
      <c r="B317" t="s">
        <v>62</v>
      </c>
      <c r="C317" t="s">
        <v>37</v>
      </c>
      <c r="D317" t="s">
        <v>58</v>
      </c>
      <c r="E317" s="1" t="s">
        <v>322</v>
      </c>
      <c r="F317">
        <f>VLOOKUP(Tabela14[[#This Row],[ID_COD]],Tabela2[],6,0)</f>
        <v>86</v>
      </c>
      <c r="G317" t="s">
        <v>118</v>
      </c>
      <c r="H317" s="2">
        <v>5.38</v>
      </c>
    </row>
    <row r="318" spans="1:8" hidden="1" x14ac:dyDescent="0.25">
      <c r="A318">
        <v>474</v>
      </c>
      <c r="B318" t="s">
        <v>62</v>
      </c>
      <c r="C318" t="s">
        <v>38</v>
      </c>
      <c r="D318" t="s">
        <v>58</v>
      </c>
      <c r="E318" s="1" t="s">
        <v>322</v>
      </c>
      <c r="F318">
        <f>VLOOKUP(Tabela14[[#This Row],[ID_COD]],Tabela2[],6,0)</f>
        <v>70</v>
      </c>
      <c r="G318" t="s">
        <v>130</v>
      </c>
      <c r="H318" s="2">
        <v>6.78</v>
      </c>
    </row>
    <row r="319" spans="1:8" hidden="1" x14ac:dyDescent="0.25">
      <c r="A319">
        <v>421</v>
      </c>
      <c r="B319" t="s">
        <v>62</v>
      </c>
      <c r="C319" t="s">
        <v>39</v>
      </c>
      <c r="D319" t="s">
        <v>58</v>
      </c>
      <c r="E319" s="1" t="s">
        <v>322</v>
      </c>
      <c r="F319">
        <f>VLOOKUP(Tabela14[[#This Row],[ID_COD]],Tabela2[],6,0)</f>
        <v>60</v>
      </c>
      <c r="G319" t="s">
        <v>144</v>
      </c>
      <c r="H319" s="2">
        <v>7.94</v>
      </c>
    </row>
    <row r="320" spans="1:8" hidden="1" x14ac:dyDescent="0.25">
      <c r="A320">
        <v>425</v>
      </c>
      <c r="B320" t="s">
        <v>62</v>
      </c>
      <c r="C320" t="s">
        <v>40</v>
      </c>
      <c r="D320" t="s">
        <v>58</v>
      </c>
      <c r="E320" s="1" t="s">
        <v>322</v>
      </c>
      <c r="F320">
        <f>VLOOKUP(Tabela14[[#This Row],[ID_COD]],Tabela2[],6,0)</f>
        <v>44</v>
      </c>
      <c r="G320" t="s">
        <v>154</v>
      </c>
      <c r="H320" s="2">
        <v>10.3</v>
      </c>
    </row>
    <row r="321" spans="1:8" x14ac:dyDescent="0.25">
      <c r="B321" t="s">
        <v>62</v>
      </c>
      <c r="C321" t="s">
        <v>41</v>
      </c>
      <c r="D321" t="s">
        <v>58</v>
      </c>
      <c r="E321" s="1" t="s">
        <v>322</v>
      </c>
      <c r="F321" t="e">
        <f>VLOOKUP(Tabela14[[#This Row],[ID_COD]],Tabela2[],6,0)</f>
        <v>#N/A</v>
      </c>
      <c r="H321" s="2" t="e">
        <v>#N/A</v>
      </c>
    </row>
    <row r="322" spans="1:8" hidden="1" x14ac:dyDescent="0.25">
      <c r="A322">
        <v>429</v>
      </c>
      <c r="B322" t="s">
        <v>62</v>
      </c>
      <c r="C322" t="s">
        <v>42</v>
      </c>
      <c r="D322" t="s">
        <v>58</v>
      </c>
      <c r="E322" s="1" t="s">
        <v>322</v>
      </c>
      <c r="F322">
        <f>VLOOKUP(Tabela14[[#This Row],[ID_COD]],Tabela2[],6,0)</f>
        <v>28</v>
      </c>
      <c r="G322" t="s">
        <v>162</v>
      </c>
      <c r="H322">
        <v>14.74</v>
      </c>
    </row>
    <row r="323" spans="1:8" x14ac:dyDescent="0.25">
      <c r="B323" t="s">
        <v>62</v>
      </c>
      <c r="C323" t="s">
        <v>44</v>
      </c>
      <c r="D323" t="s">
        <v>59</v>
      </c>
      <c r="E323" s="1" t="s">
        <v>322</v>
      </c>
      <c r="F323" t="e">
        <f>VLOOKUP(Tabela14[[#This Row],[ID_COD]],Tabela2[],6,0)</f>
        <v>#N/A</v>
      </c>
      <c r="H323" s="2">
        <v>4.2699999999999996</v>
      </c>
    </row>
    <row r="324" spans="1:8" hidden="1" x14ac:dyDescent="0.25">
      <c r="A324">
        <v>416</v>
      </c>
      <c r="B324" t="s">
        <v>62</v>
      </c>
      <c r="C324" t="s">
        <v>45</v>
      </c>
      <c r="D324" t="s">
        <v>59</v>
      </c>
      <c r="E324" s="1" t="s">
        <v>322</v>
      </c>
      <c r="F324">
        <f>VLOOKUP(Tabela14[[#This Row],[ID_COD]],Tabela2[],6,0)</f>
        <v>100</v>
      </c>
      <c r="G324" t="s">
        <v>115</v>
      </c>
      <c r="H324" s="2">
        <v>4.6399999999999997</v>
      </c>
    </row>
    <row r="325" spans="1:8" x14ac:dyDescent="0.25">
      <c r="A325">
        <v>477</v>
      </c>
      <c r="B325" t="s">
        <v>62</v>
      </c>
      <c r="C325" t="s">
        <v>46</v>
      </c>
      <c r="D325" t="s">
        <v>59</v>
      </c>
      <c r="E325" s="1" t="s">
        <v>322</v>
      </c>
      <c r="F325">
        <f>VLOOKUP(Tabela14[[#This Row],[ID_COD]],Tabela2[],6,0)</f>
        <v>85</v>
      </c>
      <c r="G325" t="s">
        <v>128</v>
      </c>
      <c r="H325" s="2">
        <v>5.74</v>
      </c>
    </row>
    <row r="326" spans="1:8" hidden="1" x14ac:dyDescent="0.25">
      <c r="A326">
        <v>420</v>
      </c>
      <c r="B326" t="s">
        <v>62</v>
      </c>
      <c r="C326" t="s">
        <v>47</v>
      </c>
      <c r="D326" t="s">
        <v>59</v>
      </c>
      <c r="E326" s="1" t="s">
        <v>322</v>
      </c>
      <c r="F326">
        <f>VLOOKUP(Tabela14[[#This Row],[ID_COD]],Tabela2[],6,0)</f>
        <v>66</v>
      </c>
      <c r="G326" t="s">
        <v>142</v>
      </c>
      <c r="H326" s="2">
        <v>6.57</v>
      </c>
    </row>
    <row r="327" spans="1:8" hidden="1" x14ac:dyDescent="0.25">
      <c r="A327">
        <v>424</v>
      </c>
      <c r="B327" t="s">
        <v>62</v>
      </c>
      <c r="C327" t="s">
        <v>48</v>
      </c>
      <c r="D327" t="s">
        <v>59</v>
      </c>
      <c r="E327" s="1" t="s">
        <v>322</v>
      </c>
      <c r="F327">
        <f>VLOOKUP(Tabela14[[#This Row],[ID_COD]],Tabela2[],6,0)</f>
        <v>48</v>
      </c>
      <c r="G327" t="s">
        <v>151</v>
      </c>
      <c r="H327" s="2">
        <v>8.4499999999999993</v>
      </c>
    </row>
    <row r="328" spans="1:8" x14ac:dyDescent="0.25">
      <c r="B328" t="s">
        <v>62</v>
      </c>
      <c r="C328" t="s">
        <v>49</v>
      </c>
      <c r="D328" t="s">
        <v>59</v>
      </c>
      <c r="E328" s="1" t="s">
        <v>322</v>
      </c>
      <c r="F328" t="e">
        <f>VLOOKUP(Tabela14[[#This Row],[ID_COD]],Tabela2[],6,0)</f>
        <v>#N/A</v>
      </c>
      <c r="H328" s="2" t="e">
        <v>#N/A</v>
      </c>
    </row>
    <row r="329" spans="1:8" hidden="1" x14ac:dyDescent="0.25">
      <c r="A329">
        <v>428</v>
      </c>
      <c r="B329" t="s">
        <v>62</v>
      </c>
      <c r="C329" t="s">
        <v>50</v>
      </c>
      <c r="D329" t="s">
        <v>59</v>
      </c>
      <c r="E329" s="1" t="s">
        <v>322</v>
      </c>
      <c r="F329">
        <f>VLOOKUP(Tabela14[[#This Row],[ID_COD]],Tabela2[],6,0)</f>
        <v>32</v>
      </c>
      <c r="G329" t="s">
        <v>159</v>
      </c>
      <c r="H329" s="2">
        <v>12.58</v>
      </c>
    </row>
    <row r="330" spans="1:8" x14ac:dyDescent="0.25">
      <c r="B330" t="s">
        <v>62</v>
      </c>
      <c r="C330" t="s">
        <v>51</v>
      </c>
      <c r="D330" t="s">
        <v>59</v>
      </c>
      <c r="E330" s="1" t="s">
        <v>322</v>
      </c>
      <c r="F330" t="e">
        <f>VLOOKUP(Tabela14[[#This Row],[ID_COD]],Tabela2[],6,0)</f>
        <v>#N/A</v>
      </c>
      <c r="H330" s="2" t="e">
        <v>#N/A</v>
      </c>
    </row>
    <row r="331" spans="1:8" x14ac:dyDescent="0.25">
      <c r="A331">
        <v>418</v>
      </c>
      <c r="B331" t="s">
        <v>62</v>
      </c>
      <c r="C331" t="s">
        <v>52</v>
      </c>
      <c r="D331" t="s">
        <v>59</v>
      </c>
      <c r="E331" s="1" t="s">
        <v>322</v>
      </c>
      <c r="F331">
        <f>VLOOKUP(Tabela14[[#This Row],[ID_COD]],Tabela2[],6,0)</f>
        <v>90</v>
      </c>
      <c r="G331" t="s">
        <v>119</v>
      </c>
      <c r="H331" s="2">
        <v>6.41</v>
      </c>
    </row>
    <row r="332" spans="1:8" x14ac:dyDescent="0.25">
      <c r="A332">
        <v>475</v>
      </c>
      <c r="B332" t="s">
        <v>62</v>
      </c>
      <c r="C332" t="s">
        <v>53</v>
      </c>
      <c r="D332" t="s">
        <v>59</v>
      </c>
      <c r="E332" s="1" t="s">
        <v>322</v>
      </c>
      <c r="F332">
        <f>VLOOKUP(Tabela14[[#This Row],[ID_COD]],Tabela2[],6,0)</f>
        <v>80</v>
      </c>
      <c r="G332" t="s">
        <v>131</v>
      </c>
      <c r="H332" s="2">
        <v>7.92</v>
      </c>
    </row>
    <row r="333" spans="1:8" x14ac:dyDescent="0.25">
      <c r="A333">
        <v>422</v>
      </c>
      <c r="B333" t="s">
        <v>62</v>
      </c>
      <c r="C333" t="s">
        <v>54</v>
      </c>
      <c r="D333" t="s">
        <v>59</v>
      </c>
      <c r="E333" s="1" t="s">
        <v>322</v>
      </c>
      <c r="F333">
        <f>VLOOKUP(Tabela14[[#This Row],[ID_COD]],Tabela2[],6,0)</f>
        <v>70</v>
      </c>
      <c r="G333" t="s">
        <v>146</v>
      </c>
      <c r="H333" s="2">
        <v>9.3699999999999992</v>
      </c>
    </row>
    <row r="334" spans="1:8" x14ac:dyDescent="0.25">
      <c r="A334">
        <v>426</v>
      </c>
      <c r="B334" t="s">
        <v>62</v>
      </c>
      <c r="C334" t="s">
        <v>55</v>
      </c>
      <c r="D334" t="s">
        <v>59</v>
      </c>
      <c r="E334" s="1" t="s">
        <v>322</v>
      </c>
      <c r="F334">
        <f>VLOOKUP(Tabela14[[#This Row],[ID_COD]],Tabela2[],6,0)</f>
        <v>60</v>
      </c>
      <c r="G334" t="s">
        <v>156</v>
      </c>
      <c r="H334" s="2">
        <v>12.03</v>
      </c>
    </row>
    <row r="335" spans="1:8" x14ac:dyDescent="0.25">
      <c r="B335" t="s">
        <v>62</v>
      </c>
      <c r="C335" t="s">
        <v>56</v>
      </c>
      <c r="D335" t="s">
        <v>59</v>
      </c>
      <c r="E335" s="1" t="s">
        <v>322</v>
      </c>
      <c r="F335" t="e">
        <f>VLOOKUP(Tabela14[[#This Row],[ID_COD]],Tabela2[],6,0)</f>
        <v>#N/A</v>
      </c>
      <c r="H335" s="2" t="e">
        <v>#N/A</v>
      </c>
    </row>
    <row r="336" spans="1:8" x14ac:dyDescent="0.25">
      <c r="A336">
        <v>430</v>
      </c>
      <c r="B336" t="s">
        <v>62</v>
      </c>
      <c r="C336" t="s">
        <v>57</v>
      </c>
      <c r="D336" t="s">
        <v>59</v>
      </c>
      <c r="E336" s="1" t="s">
        <v>322</v>
      </c>
      <c r="F336">
        <f>VLOOKUP(Tabela14[[#This Row],[ID_COD]],Tabela2[],6,0)</f>
        <v>35</v>
      </c>
      <c r="G336" t="s">
        <v>163</v>
      </c>
      <c r="H336" s="2">
        <v>17.34</v>
      </c>
    </row>
    <row r="337" spans="1:8" x14ac:dyDescent="0.25">
      <c r="B337" t="s">
        <v>62</v>
      </c>
      <c r="C337" t="s">
        <v>29</v>
      </c>
      <c r="D337" t="s">
        <v>60</v>
      </c>
      <c r="E337" s="1" t="s">
        <v>322</v>
      </c>
      <c r="F337" t="e">
        <f>VLOOKUP(Tabela14[[#This Row],[ID_COD]],Tabela2[],6,0)</f>
        <v>#N/A</v>
      </c>
      <c r="H337" s="2">
        <v>3.66</v>
      </c>
    </row>
    <row r="338" spans="1:8" x14ac:dyDescent="0.25">
      <c r="A338">
        <v>1666</v>
      </c>
      <c r="B338" t="s">
        <v>62</v>
      </c>
      <c r="C338" t="s">
        <v>30</v>
      </c>
      <c r="D338" t="s">
        <v>60</v>
      </c>
      <c r="E338" s="1" t="s">
        <v>322</v>
      </c>
      <c r="F338" t="e">
        <f>VLOOKUP(Tabela14[[#This Row],[ID_COD]],Tabela2[],6,0)</f>
        <v>#N/A</v>
      </c>
      <c r="G338" t="s">
        <v>69</v>
      </c>
      <c r="H338" s="2">
        <v>3.97</v>
      </c>
    </row>
    <row r="339" spans="1:8" x14ac:dyDescent="0.25">
      <c r="A339">
        <v>1667</v>
      </c>
      <c r="B339" t="s">
        <v>62</v>
      </c>
      <c r="C339" t="s">
        <v>31</v>
      </c>
      <c r="D339" t="s">
        <v>60</v>
      </c>
      <c r="E339" s="1" t="s">
        <v>322</v>
      </c>
      <c r="F339" t="e">
        <f>VLOOKUP(Tabela14[[#This Row],[ID_COD]],Tabela2[],6,0)</f>
        <v>#N/A</v>
      </c>
      <c r="G339" t="s">
        <v>124</v>
      </c>
      <c r="H339" s="2">
        <v>4.91</v>
      </c>
    </row>
    <row r="340" spans="1:8" x14ac:dyDescent="0.25">
      <c r="A340">
        <v>1668</v>
      </c>
      <c r="B340" t="s">
        <v>62</v>
      </c>
      <c r="C340" t="s">
        <v>32</v>
      </c>
      <c r="D340" t="s">
        <v>60</v>
      </c>
      <c r="E340" s="1" t="s">
        <v>322</v>
      </c>
      <c r="F340" t="e">
        <f>VLOOKUP(Tabela14[[#This Row],[ID_COD]],Tabela2[],6,0)</f>
        <v>#N/A</v>
      </c>
      <c r="G340" t="s">
        <v>80</v>
      </c>
      <c r="H340" s="2">
        <v>5.63</v>
      </c>
    </row>
    <row r="341" spans="1:8" x14ac:dyDescent="0.25">
      <c r="A341">
        <v>1669</v>
      </c>
      <c r="B341" t="s">
        <v>62</v>
      </c>
      <c r="C341" t="s">
        <v>33</v>
      </c>
      <c r="D341" t="s">
        <v>60</v>
      </c>
      <c r="E341" s="1" t="s">
        <v>322</v>
      </c>
      <c r="F341" t="e">
        <f>VLOOKUP(Tabela14[[#This Row],[ID_COD]],Tabela2[],6,0)</f>
        <v>#N/A</v>
      </c>
      <c r="G341" t="s">
        <v>87</v>
      </c>
      <c r="H341" s="2">
        <v>7.25</v>
      </c>
    </row>
    <row r="342" spans="1:8" x14ac:dyDescent="0.25">
      <c r="B342" t="s">
        <v>62</v>
      </c>
      <c r="C342" t="s">
        <v>34</v>
      </c>
      <c r="D342" t="s">
        <v>60</v>
      </c>
      <c r="E342" s="1" t="s">
        <v>322</v>
      </c>
      <c r="F342" t="e">
        <f>VLOOKUP(Tabela14[[#This Row],[ID_COD]],Tabela2[],6,0)</f>
        <v>#N/A</v>
      </c>
      <c r="H342" s="2" t="e">
        <v>#N/A</v>
      </c>
    </row>
    <row r="343" spans="1:8" x14ac:dyDescent="0.25">
      <c r="A343">
        <v>1670</v>
      </c>
      <c r="B343" t="s">
        <v>62</v>
      </c>
      <c r="C343" t="s">
        <v>35</v>
      </c>
      <c r="D343" t="s">
        <v>60</v>
      </c>
      <c r="E343" s="1" t="s">
        <v>322</v>
      </c>
      <c r="F343" t="e">
        <f>VLOOKUP(Tabela14[[#This Row],[ID_COD]],Tabela2[],6,0)</f>
        <v>#N/A</v>
      </c>
      <c r="G343" t="s">
        <v>96</v>
      </c>
      <c r="H343" s="2">
        <v>10.74</v>
      </c>
    </row>
    <row r="344" spans="1:8" x14ac:dyDescent="0.25">
      <c r="B344" t="s">
        <v>62</v>
      </c>
      <c r="C344" t="s">
        <v>36</v>
      </c>
      <c r="D344" t="s">
        <v>60</v>
      </c>
      <c r="E344" s="1" t="s">
        <v>322</v>
      </c>
      <c r="F344" t="e">
        <f>VLOOKUP(Tabela14[[#This Row],[ID_COD]],Tabela2[],6,0)</f>
        <v>#N/A</v>
      </c>
      <c r="H344" s="2" t="e">
        <v>#N/A</v>
      </c>
    </row>
    <row r="345" spans="1:8" x14ac:dyDescent="0.25">
      <c r="A345">
        <v>1671</v>
      </c>
      <c r="B345" t="s">
        <v>62</v>
      </c>
      <c r="C345" t="s">
        <v>37</v>
      </c>
      <c r="D345" t="s">
        <v>60</v>
      </c>
      <c r="E345" s="1" t="s">
        <v>322</v>
      </c>
      <c r="F345" t="e">
        <f>VLOOKUP(Tabela14[[#This Row],[ID_COD]],Tabela2[],6,0)</f>
        <v>#N/A</v>
      </c>
      <c r="G345" t="s">
        <v>71</v>
      </c>
      <c r="H345" s="2">
        <v>5.38</v>
      </c>
    </row>
    <row r="346" spans="1:8" x14ac:dyDescent="0.25">
      <c r="A346">
        <v>1672</v>
      </c>
      <c r="B346" t="s">
        <v>62</v>
      </c>
      <c r="C346" t="s">
        <v>38</v>
      </c>
      <c r="D346" t="s">
        <v>60</v>
      </c>
      <c r="E346" s="1" t="s">
        <v>322</v>
      </c>
      <c r="F346" t="e">
        <f>VLOOKUP(Tabela14[[#This Row],[ID_COD]],Tabela2[],6,0)</f>
        <v>#N/A</v>
      </c>
      <c r="G346" t="s">
        <v>77</v>
      </c>
      <c r="H346" s="2">
        <v>6.78</v>
      </c>
    </row>
    <row r="347" spans="1:8" x14ac:dyDescent="0.25">
      <c r="A347">
        <v>1673</v>
      </c>
      <c r="B347" t="s">
        <v>62</v>
      </c>
      <c r="C347" t="s">
        <v>39</v>
      </c>
      <c r="D347" t="s">
        <v>60</v>
      </c>
      <c r="E347" s="1" t="s">
        <v>322</v>
      </c>
      <c r="F347" t="e">
        <f>VLOOKUP(Tabela14[[#This Row],[ID_COD]],Tabela2[],6,0)</f>
        <v>#N/A</v>
      </c>
      <c r="G347" t="s">
        <v>83</v>
      </c>
      <c r="H347" s="2">
        <v>7.94</v>
      </c>
    </row>
    <row r="348" spans="1:8" x14ac:dyDescent="0.25">
      <c r="A348">
        <v>1674</v>
      </c>
      <c r="B348" t="s">
        <v>62</v>
      </c>
      <c r="C348" t="s">
        <v>40</v>
      </c>
      <c r="D348" t="s">
        <v>60</v>
      </c>
      <c r="E348" s="1" t="s">
        <v>322</v>
      </c>
      <c r="F348" t="e">
        <f>VLOOKUP(Tabela14[[#This Row],[ID_COD]],Tabela2[],6,0)</f>
        <v>#N/A</v>
      </c>
      <c r="G348" t="s">
        <v>91</v>
      </c>
      <c r="H348" s="2">
        <v>10.3</v>
      </c>
    </row>
    <row r="349" spans="1:8" x14ac:dyDescent="0.25">
      <c r="B349" t="s">
        <v>62</v>
      </c>
      <c r="C349" t="s">
        <v>41</v>
      </c>
      <c r="D349" t="s">
        <v>60</v>
      </c>
      <c r="E349" s="1" t="s">
        <v>322</v>
      </c>
      <c r="F349" t="e">
        <f>VLOOKUP(Tabela14[[#This Row],[ID_COD]],Tabela2[],6,0)</f>
        <v>#N/A</v>
      </c>
      <c r="H349" s="2" t="e">
        <v>#N/A</v>
      </c>
    </row>
    <row r="350" spans="1:8" x14ac:dyDescent="0.25">
      <c r="A350">
        <v>1675</v>
      </c>
      <c r="B350" t="s">
        <v>62</v>
      </c>
      <c r="C350" t="s">
        <v>42</v>
      </c>
      <c r="D350" t="s">
        <v>60</v>
      </c>
      <c r="E350" s="1" t="s">
        <v>322</v>
      </c>
      <c r="F350" t="e">
        <f>VLOOKUP(Tabela14[[#This Row],[ID_COD]],Tabela2[],6,0)</f>
        <v>#N/A</v>
      </c>
      <c r="G350" t="s">
        <v>101</v>
      </c>
      <c r="H350" s="2">
        <v>14.74</v>
      </c>
    </row>
    <row r="351" spans="1:8" x14ac:dyDescent="0.25">
      <c r="B351" t="s">
        <v>62</v>
      </c>
      <c r="C351" t="s">
        <v>44</v>
      </c>
      <c r="D351" t="s">
        <v>61</v>
      </c>
      <c r="E351" s="1" t="s">
        <v>322</v>
      </c>
      <c r="F351" t="e">
        <f>VLOOKUP(Tabela14[[#This Row],[ID_COD]],Tabela2[],6,0)</f>
        <v>#N/A</v>
      </c>
      <c r="H351" s="2">
        <v>4.2699999999999996</v>
      </c>
    </row>
    <row r="352" spans="1:8" x14ac:dyDescent="0.25">
      <c r="A352">
        <v>1676</v>
      </c>
      <c r="B352" t="s">
        <v>62</v>
      </c>
      <c r="C352" t="s">
        <v>45</v>
      </c>
      <c r="D352" t="s">
        <v>61</v>
      </c>
      <c r="E352" s="1" t="s">
        <v>322</v>
      </c>
      <c r="F352" t="e">
        <f>VLOOKUP(Tabela14[[#This Row],[ID_COD]],Tabela2[],6,0)</f>
        <v>#N/A</v>
      </c>
      <c r="G352" t="s">
        <v>110</v>
      </c>
      <c r="H352" s="2">
        <v>4.6399999999999997</v>
      </c>
    </row>
    <row r="353" spans="1:8" x14ac:dyDescent="0.25">
      <c r="A353">
        <v>1677</v>
      </c>
      <c r="B353" t="s">
        <v>62</v>
      </c>
      <c r="C353" t="s">
        <v>46</v>
      </c>
      <c r="D353" t="s">
        <v>61</v>
      </c>
      <c r="E353" s="1" t="s">
        <v>322</v>
      </c>
      <c r="F353" t="e">
        <f>VLOOKUP(Tabela14[[#This Row],[ID_COD]],Tabela2[],6,0)</f>
        <v>#N/A</v>
      </c>
      <c r="G353" t="s">
        <v>73</v>
      </c>
      <c r="H353" s="2">
        <v>5.74</v>
      </c>
    </row>
    <row r="354" spans="1:8" x14ac:dyDescent="0.25">
      <c r="A354">
        <v>1678</v>
      </c>
      <c r="B354" t="s">
        <v>62</v>
      </c>
      <c r="C354" t="s">
        <v>47</v>
      </c>
      <c r="D354" t="s">
        <v>61</v>
      </c>
      <c r="E354" s="1" t="s">
        <v>322</v>
      </c>
      <c r="F354" t="e">
        <f>VLOOKUP(Tabela14[[#This Row],[ID_COD]],Tabela2[],6,0)</f>
        <v>#N/A</v>
      </c>
      <c r="G354" t="s">
        <v>135</v>
      </c>
      <c r="H354" s="2">
        <v>6.57</v>
      </c>
    </row>
    <row r="355" spans="1:8" x14ac:dyDescent="0.25">
      <c r="A355">
        <v>1679</v>
      </c>
      <c r="B355" t="s">
        <v>62</v>
      </c>
      <c r="C355" t="s">
        <v>48</v>
      </c>
      <c r="D355" t="s">
        <v>61</v>
      </c>
      <c r="E355" s="1" t="s">
        <v>322</v>
      </c>
      <c r="F355" t="e">
        <f>VLOOKUP(Tabela14[[#This Row],[ID_COD]],Tabela2[],6,0)</f>
        <v>#N/A</v>
      </c>
      <c r="G355" t="s">
        <v>87</v>
      </c>
      <c r="H355" s="2">
        <v>8.4499999999999993</v>
      </c>
    </row>
    <row r="356" spans="1:8" x14ac:dyDescent="0.25">
      <c r="B356" t="s">
        <v>62</v>
      </c>
      <c r="C356" t="s">
        <v>49</v>
      </c>
      <c r="D356" t="s">
        <v>61</v>
      </c>
      <c r="E356" s="1" t="s">
        <v>322</v>
      </c>
      <c r="F356" t="e">
        <f>VLOOKUP(Tabela14[[#This Row],[ID_COD]],Tabela2[],6,0)</f>
        <v>#N/A</v>
      </c>
      <c r="H356" s="2" t="e">
        <v>#N/A</v>
      </c>
    </row>
    <row r="357" spans="1:8" x14ac:dyDescent="0.25">
      <c r="A357">
        <v>1680</v>
      </c>
      <c r="B357" t="s">
        <v>62</v>
      </c>
      <c r="C357" t="s">
        <v>50</v>
      </c>
      <c r="D357" t="s">
        <v>61</v>
      </c>
      <c r="E357" s="1" t="s">
        <v>322</v>
      </c>
      <c r="F357" t="e">
        <f>VLOOKUP(Tabela14[[#This Row],[ID_COD]],Tabela2[],6,0)</f>
        <v>#N/A</v>
      </c>
      <c r="G357" t="s">
        <v>96</v>
      </c>
      <c r="H357" s="2">
        <v>12.58</v>
      </c>
    </row>
    <row r="358" spans="1:8" x14ac:dyDescent="0.25">
      <c r="B358" t="s">
        <v>62</v>
      </c>
      <c r="C358" t="s">
        <v>51</v>
      </c>
      <c r="D358" t="s">
        <v>61</v>
      </c>
      <c r="E358" s="1" t="s">
        <v>322</v>
      </c>
      <c r="F358" t="e">
        <f>VLOOKUP(Tabela14[[#This Row],[ID_COD]],Tabela2[],6,0)</f>
        <v>#N/A</v>
      </c>
      <c r="H358" s="2" t="e">
        <v>#N/A</v>
      </c>
    </row>
    <row r="359" spans="1:8" x14ac:dyDescent="0.25">
      <c r="A359">
        <v>1681</v>
      </c>
      <c r="B359" t="s">
        <v>62</v>
      </c>
      <c r="C359" t="s">
        <v>52</v>
      </c>
      <c r="D359" t="s">
        <v>61</v>
      </c>
      <c r="E359" s="1" t="s">
        <v>322</v>
      </c>
      <c r="F359" t="e">
        <f>VLOOKUP(Tabela14[[#This Row],[ID_COD]],Tabela2[],6,0)</f>
        <v>#N/A</v>
      </c>
      <c r="G359" t="s">
        <v>116</v>
      </c>
      <c r="H359" s="2">
        <v>6.41</v>
      </c>
    </row>
    <row r="360" spans="1:8" x14ac:dyDescent="0.25">
      <c r="A360">
        <v>1682</v>
      </c>
      <c r="B360" t="s">
        <v>62</v>
      </c>
      <c r="C360" t="s">
        <v>53</v>
      </c>
      <c r="D360" t="s">
        <v>61</v>
      </c>
      <c r="E360" s="1" t="s">
        <v>322</v>
      </c>
      <c r="F360" t="e">
        <f>VLOOKUP(Tabela14[[#This Row],[ID_COD]],Tabela2[],6,0)</f>
        <v>#N/A</v>
      </c>
      <c r="G360" t="s">
        <v>129</v>
      </c>
      <c r="H360" s="2">
        <v>7.92</v>
      </c>
    </row>
    <row r="361" spans="1:8" x14ac:dyDescent="0.25">
      <c r="A361">
        <v>1683</v>
      </c>
      <c r="B361" t="s">
        <v>62</v>
      </c>
      <c r="C361" t="s">
        <v>54</v>
      </c>
      <c r="D361" t="s">
        <v>61</v>
      </c>
      <c r="E361" s="1" t="s">
        <v>322</v>
      </c>
      <c r="F361" t="e">
        <f>VLOOKUP(Tabela14[[#This Row],[ID_COD]],Tabela2[],6,0)</f>
        <v>#N/A</v>
      </c>
      <c r="G361" t="s">
        <v>143</v>
      </c>
      <c r="H361" s="2">
        <v>9.3699999999999992</v>
      </c>
    </row>
    <row r="362" spans="1:8" x14ac:dyDescent="0.25">
      <c r="A362">
        <v>1684</v>
      </c>
      <c r="B362" t="s">
        <v>62</v>
      </c>
      <c r="C362" t="s">
        <v>55</v>
      </c>
      <c r="D362" t="s">
        <v>61</v>
      </c>
      <c r="E362" s="1" t="s">
        <v>322</v>
      </c>
      <c r="F362" t="e">
        <f>VLOOKUP(Tabela14[[#This Row],[ID_COD]],Tabela2[],6,0)</f>
        <v>#N/A</v>
      </c>
      <c r="G362" t="s">
        <v>91</v>
      </c>
      <c r="H362" s="2">
        <v>12.03</v>
      </c>
    </row>
    <row r="363" spans="1:8" x14ac:dyDescent="0.25">
      <c r="B363" t="s">
        <v>62</v>
      </c>
      <c r="C363" t="s">
        <v>56</v>
      </c>
      <c r="D363" t="s">
        <v>61</v>
      </c>
      <c r="E363" s="1" t="s">
        <v>322</v>
      </c>
      <c r="F363" t="e">
        <f>VLOOKUP(Tabela14[[#This Row],[ID_COD]],Tabela2[],6,0)</f>
        <v>#N/A</v>
      </c>
      <c r="H363" s="2" t="e">
        <v>#N/A</v>
      </c>
    </row>
    <row r="364" spans="1:8" x14ac:dyDescent="0.25">
      <c r="A364">
        <v>1685</v>
      </c>
      <c r="B364" t="s">
        <v>62</v>
      </c>
      <c r="C364" t="s">
        <v>57</v>
      </c>
      <c r="D364" t="s">
        <v>61</v>
      </c>
      <c r="E364" s="1" t="s">
        <v>322</v>
      </c>
      <c r="F364" t="e">
        <f>VLOOKUP(Tabela14[[#This Row],[ID_COD]],Tabela2[],6,0)</f>
        <v>#N/A</v>
      </c>
      <c r="G364" t="s">
        <v>101</v>
      </c>
      <c r="H364" s="2">
        <v>17.34</v>
      </c>
    </row>
    <row r="365" spans="1:8" hidden="1" x14ac:dyDescent="0.25">
      <c r="A365">
        <v>4</v>
      </c>
      <c r="B365" t="s">
        <v>3</v>
      </c>
      <c r="C365" t="s">
        <v>64</v>
      </c>
      <c r="D365" t="s">
        <v>63</v>
      </c>
      <c r="E365" s="1" t="s">
        <v>322</v>
      </c>
      <c r="F365">
        <f>VLOOKUP(Tabela14[[#This Row],[ID_COD]],Tabela2[],6,0)</f>
        <v>1000</v>
      </c>
      <c r="G365" t="s">
        <v>261</v>
      </c>
      <c r="H365" s="2" t="e">
        <v>#N/A</v>
      </c>
    </row>
    <row r="366" spans="1:8" hidden="1" x14ac:dyDescent="0.25">
      <c r="A366">
        <v>731</v>
      </c>
      <c r="B366" t="s">
        <v>3</v>
      </c>
      <c r="C366" t="s">
        <v>66</v>
      </c>
      <c r="D366" t="s">
        <v>65</v>
      </c>
      <c r="E366" s="1" t="s">
        <v>322</v>
      </c>
      <c r="F366">
        <f>VLOOKUP(Tabela14[[#This Row],[ID_COD]],Tabela2[],6,0)</f>
        <v>1000</v>
      </c>
      <c r="G366" t="s">
        <v>260</v>
      </c>
      <c r="H366" s="2" t="e">
        <v>#N/A</v>
      </c>
    </row>
    <row r="367" spans="1:8" hidden="1" x14ac:dyDescent="0.25">
      <c r="A367">
        <v>730</v>
      </c>
      <c r="B367" t="s">
        <v>3</v>
      </c>
      <c r="C367" t="s">
        <v>68</v>
      </c>
      <c r="D367" t="s">
        <v>67</v>
      </c>
      <c r="E367" s="1" t="s">
        <v>322</v>
      </c>
      <c r="F367">
        <f>VLOOKUP(Tabela14[[#This Row],[ID_COD]],Tabela2[],6,0)</f>
        <v>900</v>
      </c>
      <c r="G367" t="s">
        <v>263</v>
      </c>
      <c r="H367" s="2" t="e">
        <v>#N/A</v>
      </c>
    </row>
    <row r="368" spans="1:8" x14ac:dyDescent="0.25">
      <c r="A368">
        <v>495</v>
      </c>
      <c r="B368" s="7" t="s">
        <v>441</v>
      </c>
      <c r="C368" s="7" t="s">
        <v>441</v>
      </c>
      <c r="D368" s="7" t="s">
        <v>8</v>
      </c>
      <c r="F368" t="e">
        <f>VLOOKUP(Tabela14[[#This Row],[ID_COD]],Tabela2[],6,0)</f>
        <v>#N/A</v>
      </c>
      <c r="G368" t="s">
        <v>441</v>
      </c>
      <c r="H368" s="2">
        <v>40</v>
      </c>
    </row>
    <row r="369" spans="1:8" x14ac:dyDescent="0.25">
      <c r="A369">
        <v>2019</v>
      </c>
      <c r="B369" s="7" t="s">
        <v>442</v>
      </c>
      <c r="C369" t="s">
        <v>20</v>
      </c>
      <c r="D369" s="7" t="s">
        <v>9</v>
      </c>
      <c r="E369">
        <v>350</v>
      </c>
      <c r="F369" t="e">
        <f>VLOOKUP(Tabela14[[#This Row],[ID_COD]],Tabela2[],6,0)</f>
        <v>#N/A</v>
      </c>
      <c r="G369" t="s">
        <v>259</v>
      </c>
      <c r="H369" s="2">
        <v>22.79</v>
      </c>
    </row>
    <row r="370" spans="1:8" hidden="1" x14ac:dyDescent="0.25">
      <c r="A370">
        <v>1819</v>
      </c>
      <c r="B370" s="7" t="s">
        <v>227</v>
      </c>
      <c r="C370" t="s">
        <v>26</v>
      </c>
      <c r="D370" s="7" t="s">
        <v>8</v>
      </c>
      <c r="E370">
        <v>210</v>
      </c>
      <c r="F370">
        <f>VLOOKUP(Tabela14[[#This Row],[ID_COD]],Tabela2[],6,0)</f>
        <v>36</v>
      </c>
      <c r="G370" s="7" t="s">
        <v>227</v>
      </c>
      <c r="H370" s="2">
        <v>16.87</v>
      </c>
    </row>
    <row r="371" spans="1:8" x14ac:dyDescent="0.25">
      <c r="A371">
        <v>2011</v>
      </c>
      <c r="B371" s="7" t="s">
        <v>228</v>
      </c>
      <c r="C371" s="7" t="s">
        <v>26</v>
      </c>
      <c r="D371" s="7" t="s">
        <v>9</v>
      </c>
      <c r="E371">
        <v>900</v>
      </c>
      <c r="F371" t="e">
        <f>VLOOKUP(Tabela14[[#This Row],[ID_COD]],Tabela2[],6,0)</f>
        <v>#N/A</v>
      </c>
      <c r="G371" t="s">
        <v>228</v>
      </c>
      <c r="H371" s="2">
        <v>58.6</v>
      </c>
    </row>
    <row r="372" spans="1:8" x14ac:dyDescent="0.25">
      <c r="A372">
        <v>2010</v>
      </c>
      <c r="B372" s="7" t="s">
        <v>228</v>
      </c>
      <c r="C372" s="7" t="s">
        <v>26</v>
      </c>
      <c r="D372" s="7" t="s">
        <v>8</v>
      </c>
      <c r="E372">
        <v>320</v>
      </c>
      <c r="F372" t="e">
        <f>VLOOKUP(Tabela14[[#This Row],[ID_COD]],Tabela2[],6,0)</f>
        <v>#N/A</v>
      </c>
      <c r="G372" s="7" t="s">
        <v>228</v>
      </c>
      <c r="H372" s="2">
        <v>25.71</v>
      </c>
    </row>
    <row r="373" spans="1:8" x14ac:dyDescent="0.25">
      <c r="A373">
        <v>1822</v>
      </c>
      <c r="B373" s="7" t="s">
        <v>207</v>
      </c>
      <c r="C373" s="7" t="s">
        <v>24</v>
      </c>
      <c r="D373" s="7" t="s">
        <v>9</v>
      </c>
      <c r="E373">
        <v>380</v>
      </c>
      <c r="F373">
        <f>VLOOKUP(Tabela14[[#This Row],[ID_COD]],Tabela2[],6,0)</f>
        <v>20</v>
      </c>
      <c r="G373" s="7" t="s">
        <v>207</v>
      </c>
      <c r="H373" s="2">
        <v>24.51</v>
      </c>
    </row>
    <row r="374" spans="1:8" hidden="1" x14ac:dyDescent="0.25">
      <c r="A374">
        <v>1797</v>
      </c>
      <c r="B374" s="7" t="s">
        <v>443</v>
      </c>
      <c r="C374" t="s">
        <v>13</v>
      </c>
      <c r="D374" s="7" t="s">
        <v>4</v>
      </c>
      <c r="F374">
        <f>VLOOKUP(Tabela14[[#This Row],[ID_COD]],Tabela2[],6,0)</f>
        <v>12</v>
      </c>
      <c r="G374" s="7" t="s">
        <v>443</v>
      </c>
      <c r="H374" s="2">
        <v>48.5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abSelected="1" zoomScaleNormal="100" workbookViewId="0">
      <selection activeCell="A80" sqref="A80:XFD80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ht="15.75" thickBot="1" x14ac:dyDescent="0.3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 s="24">
        <v>6.99</v>
      </c>
    </row>
    <row r="3" spans="1:8" ht="15.75" thickBot="1" x14ac:dyDescent="0.3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 s="24">
        <v>9.74</v>
      </c>
    </row>
    <row r="4" spans="1:8" ht="15.75" thickBot="1" x14ac:dyDescent="0.3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 s="24">
        <v>11.85</v>
      </c>
    </row>
    <row r="5" spans="1:8" ht="15.75" thickBot="1" x14ac:dyDescent="0.3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 s="24">
        <v>10.88</v>
      </c>
    </row>
    <row r="6" spans="1:8" ht="15.75" thickBot="1" x14ac:dyDescent="0.3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 s="24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 s="36">
        <v>14.22</v>
      </c>
    </row>
    <row r="8" spans="1:8" ht="15.75" thickBot="1" x14ac:dyDescent="0.3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24">
        <v>15.44</v>
      </c>
    </row>
    <row r="9" spans="1:8" ht="15.75" thickBot="1" x14ac:dyDescent="0.3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 s="24">
        <v>18.86</v>
      </c>
    </row>
    <row r="10" spans="1:8" ht="15.75" thickBot="1" x14ac:dyDescent="0.3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 s="24">
        <v>19.88</v>
      </c>
    </row>
    <row r="11" spans="1:8" ht="15.75" thickBot="1" x14ac:dyDescent="0.3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 s="24">
        <v>22.8</v>
      </c>
    </row>
    <row r="12" spans="1:8" ht="15.75" thickBot="1" x14ac:dyDescent="0.3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 s="24">
        <v>24.86</v>
      </c>
    </row>
    <row r="13" spans="1:8" ht="15.75" thickBot="1" x14ac:dyDescent="0.3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 s="24">
        <v>26.86</v>
      </c>
    </row>
    <row r="14" spans="1:8" ht="15.75" thickBot="1" x14ac:dyDescent="0.3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 s="29">
        <v>0.41039999999999999</v>
      </c>
    </row>
    <row r="15" spans="1:8" ht="15.75" thickBot="1" x14ac:dyDescent="0.3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 s="26">
        <v>0.43200000000000005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 s="25">
        <v>0.4536</v>
      </c>
    </row>
    <row r="17" spans="1:8" ht="15.75" thickBot="1" x14ac:dyDescent="0.3">
      <c r="A17">
        <v>1586</v>
      </c>
      <c r="B17" t="s">
        <v>364</v>
      </c>
      <c r="C17" t="s">
        <v>365</v>
      </c>
      <c r="E17">
        <v>12</v>
      </c>
      <c r="F17" t="s">
        <v>4</v>
      </c>
      <c r="H17" s="35">
        <v>49.5</v>
      </c>
    </row>
    <row r="18" spans="1:8" ht="15.75" thickBot="1" x14ac:dyDescent="0.3">
      <c r="A18">
        <v>1797</v>
      </c>
      <c r="B18" t="s">
        <v>366</v>
      </c>
      <c r="C18" t="s">
        <v>365</v>
      </c>
      <c r="E18">
        <v>12</v>
      </c>
      <c r="F18" t="s">
        <v>4</v>
      </c>
      <c r="H18" s="35">
        <v>48.5</v>
      </c>
    </row>
    <row r="19" spans="1:8" ht="15.75" thickBot="1" x14ac:dyDescent="0.3">
      <c r="A19">
        <v>1588</v>
      </c>
      <c r="B19" t="s">
        <v>367</v>
      </c>
      <c r="C19" t="s">
        <v>368</v>
      </c>
      <c r="E19">
        <v>150</v>
      </c>
      <c r="F19" t="s">
        <v>4</v>
      </c>
      <c r="H19" s="24">
        <v>5.3353999999999999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 s="23">
        <v>2.8839999999999999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 s="34">
        <v>3.9528000000000003</v>
      </c>
    </row>
    <row r="22" spans="1:8" ht="15.75" thickBot="1" x14ac:dyDescent="0.3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 s="30">
        <v>4.2876000000000003</v>
      </c>
    </row>
    <row r="23" spans="1:8" ht="15.75" thickBot="1" x14ac:dyDescent="0.3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 s="32">
        <v>5.3028000000000004</v>
      </c>
    </row>
    <row r="24" spans="1:8" ht="15.75" thickBot="1" x14ac:dyDescent="0.3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 s="32">
        <v>6.0804</v>
      </c>
    </row>
    <row r="25" spans="1:8" ht="15.75" thickBot="1" x14ac:dyDescent="0.3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 s="32">
        <v>7.83</v>
      </c>
    </row>
    <row r="26" spans="1:8" ht="15.75" thickBot="1" x14ac:dyDescent="0.3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 s="32">
        <v>11.5992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 s="33">
        <v>5.3567999999999998</v>
      </c>
    </row>
    <row r="28" spans="1:8" ht="15.75" thickBot="1" x14ac:dyDescent="0.3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 s="32">
        <v>5.8103999999999996</v>
      </c>
    </row>
    <row r="29" spans="1:8" ht="15.75" thickBot="1" x14ac:dyDescent="0.3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 s="32">
        <v>7.3224</v>
      </c>
    </row>
    <row r="30" spans="1:8" ht="15.75" thickBot="1" x14ac:dyDescent="0.3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 s="32">
        <v>8.5752000000000006</v>
      </c>
    </row>
    <row r="31" spans="1:8" ht="15.75" thickBot="1" x14ac:dyDescent="0.3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 s="31">
        <v>11.124000000000001</v>
      </c>
    </row>
    <row r="32" spans="1:8" ht="15.75" thickBot="1" x14ac:dyDescent="0.3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 s="30">
        <v>15.9192</v>
      </c>
    </row>
    <row r="33" spans="1:8" ht="15.75" thickBot="1" x14ac:dyDescent="0.3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 s="32">
        <v>4.1580000000000004</v>
      </c>
    </row>
    <row r="34" spans="1:8" ht="15.75" thickBot="1" x14ac:dyDescent="0.3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 s="32">
        <v>5.1407999999999996</v>
      </c>
    </row>
    <row r="35" spans="1:8" ht="15.75" thickBot="1" x14ac:dyDescent="0.3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 s="32">
        <v>5.9075999999999995</v>
      </c>
    </row>
    <row r="36" spans="1:8" ht="15.75" thickBot="1" x14ac:dyDescent="0.3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 s="32">
        <v>7.5924000000000005</v>
      </c>
    </row>
    <row r="37" spans="1:8" ht="15.75" thickBot="1" x14ac:dyDescent="0.3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 s="32">
        <v>11.2536</v>
      </c>
    </row>
    <row r="38" spans="1:8" ht="15.75" thickBot="1" x14ac:dyDescent="0.3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 s="32">
        <v>5.6268000000000002</v>
      </c>
    </row>
    <row r="39" spans="1:8" ht="15.75" thickBot="1" x14ac:dyDescent="0.3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 s="32">
        <v>7.1063999999999998</v>
      </c>
    </row>
    <row r="40" spans="1:8" ht="15.75" thickBot="1" x14ac:dyDescent="0.3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 s="32">
        <v>8.3160000000000007</v>
      </c>
    </row>
    <row r="41" spans="1:8" ht="15.75" thickBot="1" x14ac:dyDescent="0.3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 s="31">
        <v>10.789200000000001</v>
      </c>
    </row>
    <row r="42" spans="1:8" ht="15.75" thickBot="1" x14ac:dyDescent="0.3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 s="30">
        <v>15.444000000000001</v>
      </c>
    </row>
    <row r="43" spans="1:8" ht="15.75" thickBot="1" x14ac:dyDescent="0.3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 s="24">
        <v>14.46</v>
      </c>
    </row>
    <row r="44" spans="1:8" ht="15.75" thickBot="1" x14ac:dyDescent="0.3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 s="24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 s="23">
        <v>19.22</v>
      </c>
    </row>
    <row r="46" spans="1:8" ht="15.75" thickBot="1" x14ac:dyDescent="0.3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 s="24">
        <v>29.67</v>
      </c>
    </row>
    <row r="47" spans="1:8" ht="15.75" thickBot="1" x14ac:dyDescent="0.3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 s="24">
        <v>30.58</v>
      </c>
    </row>
    <row r="48" spans="1:8" ht="15.75" thickBot="1" x14ac:dyDescent="0.3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 s="24">
        <v>32.94</v>
      </c>
    </row>
    <row r="49" spans="1:8" ht="15.75" thickBot="1" x14ac:dyDescent="0.3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 s="29">
        <v>0.47520000000000001</v>
      </c>
    </row>
    <row r="50" spans="1:8" ht="15.75" thickBot="1" x14ac:dyDescent="0.3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 s="26">
        <v>0.50759999999999994</v>
      </c>
    </row>
    <row r="51" spans="1:8" ht="15.75" thickBot="1" x14ac:dyDescent="0.3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 s="26">
        <v>0.5292</v>
      </c>
    </row>
    <row r="52" spans="1:8" ht="15.75" thickBot="1" x14ac:dyDescent="0.3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 s="28">
        <v>71</v>
      </c>
    </row>
    <row r="53" spans="1:8" ht="15.75" thickBot="1" x14ac:dyDescent="0.3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 s="27">
        <v>7.1894</v>
      </c>
    </row>
    <row r="54" spans="1:8" ht="15.75" thickBot="1" x14ac:dyDescent="0.3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 s="24">
        <v>27.88</v>
      </c>
    </row>
    <row r="55" spans="1:8" ht="15.75" thickBot="1" x14ac:dyDescent="0.3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 s="24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 s="23">
        <v>30.77</v>
      </c>
    </row>
    <row r="57" spans="1:8" ht="15.75" thickBot="1" x14ac:dyDescent="0.3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 s="24">
        <v>94.88</v>
      </c>
    </row>
    <row r="58" spans="1:8" ht="15.75" thickBot="1" x14ac:dyDescent="0.3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 s="24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 s="23">
        <v>107.44</v>
      </c>
    </row>
    <row r="60" spans="1:8" ht="15.75" thickBot="1" x14ac:dyDescent="0.3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 s="26">
        <v>0.64800000000000002</v>
      </c>
    </row>
    <row r="61" spans="1:8" ht="15.75" thickBot="1" x14ac:dyDescent="0.3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 s="26">
        <v>0.66959999999999997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 s="25">
        <v>0.70200000000000007</v>
      </c>
    </row>
    <row r="63" spans="1:8" ht="15.75" thickBot="1" x14ac:dyDescent="0.3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 s="24">
        <v>86.5</v>
      </c>
    </row>
    <row r="64" spans="1:8" ht="15.75" thickBot="1" x14ac:dyDescent="0.3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 s="24">
        <v>8.1988000000000003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 s="23">
        <v>4.4084000000000003</v>
      </c>
    </row>
    <row r="66" spans="1:8" ht="15.75" thickBot="1" x14ac:dyDescent="0.3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 s="21">
        <v>4.6115999999999993</v>
      </c>
    </row>
    <row r="67" spans="1:8" ht="15.75" thickBot="1" x14ac:dyDescent="0.3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 s="21">
        <v>5.0111999999999997</v>
      </c>
    </row>
    <row r="68" spans="1:8" ht="15.75" thickBot="1" x14ac:dyDescent="0.3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 s="20">
        <v>6.1992000000000003</v>
      </c>
    </row>
    <row r="69" spans="1:8" ht="15.75" thickBot="1" x14ac:dyDescent="0.3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 s="20">
        <v>7.0956000000000001</v>
      </c>
    </row>
    <row r="70" spans="1:8" ht="15.75" thickBot="1" x14ac:dyDescent="0.3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 s="20">
        <v>9.1259999999999994</v>
      </c>
    </row>
    <row r="71" spans="1:8" ht="15.75" thickBot="1" x14ac:dyDescent="0.3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 s="20">
        <v>13.586399999999999</v>
      </c>
    </row>
    <row r="72" spans="1:8" ht="15.75" thickBot="1" x14ac:dyDescent="0.3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 s="20">
        <v>6.3720000000000008</v>
      </c>
    </row>
    <row r="73" spans="1:8" ht="15.75" thickBot="1" x14ac:dyDescent="0.3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 s="20">
        <v>6.9228000000000005</v>
      </c>
    </row>
    <row r="74" spans="1:8" ht="15.75" thickBot="1" x14ac:dyDescent="0.3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 s="20">
        <v>8.5535999999999994</v>
      </c>
    </row>
    <row r="75" spans="1:8" ht="15.75" thickBot="1" x14ac:dyDescent="0.3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 s="20">
        <v>10.119599999999998</v>
      </c>
    </row>
    <row r="76" spans="1:8" ht="15.75" thickBot="1" x14ac:dyDescent="0.3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 s="20">
        <v>12.9924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 s="22">
        <v>18.7272</v>
      </c>
    </row>
    <row r="78" spans="1:8" ht="15.75" thickBot="1" x14ac:dyDescent="0.3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 s="21">
        <v>4.8600000000000003</v>
      </c>
    </row>
    <row r="79" spans="1:8" ht="15.75" thickBot="1" x14ac:dyDescent="0.3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 s="20">
        <v>6.0156000000000001</v>
      </c>
    </row>
    <row r="80" spans="1:8" ht="15.75" thickBot="1" x14ac:dyDescent="0.3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 s="20">
        <v>6.8903999999999996</v>
      </c>
    </row>
    <row r="81" spans="1:8" ht="15.75" thickBot="1" x14ac:dyDescent="0.3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 s="20">
        <v>8.8452000000000002</v>
      </c>
    </row>
    <row r="82" spans="1:8" ht="15.75" thickBot="1" x14ac:dyDescent="0.3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 s="20">
        <v>13.186800000000002</v>
      </c>
    </row>
    <row r="83" spans="1:8" ht="15.75" thickBot="1" x14ac:dyDescent="0.3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 s="20">
        <v>6.7284000000000006</v>
      </c>
    </row>
    <row r="84" spans="1:8" ht="15.75" thickBot="1" x14ac:dyDescent="0.3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 s="20">
        <v>8.2835999999999999</v>
      </c>
    </row>
    <row r="85" spans="1:8" ht="15.75" thickBot="1" x14ac:dyDescent="0.3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 s="20">
        <v>9.8064</v>
      </c>
    </row>
    <row r="86" spans="1:8" ht="15.75" thickBot="1" x14ac:dyDescent="0.3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 s="20">
        <v>12.6036</v>
      </c>
    </row>
    <row r="87" spans="1:8" ht="15.75" thickBot="1" x14ac:dyDescent="0.3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 s="20">
        <v>18.176399999999997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topLeftCell="A286" workbookViewId="0">
      <selection activeCell="F323" sqref="F323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14" t="s">
        <v>637</v>
      </c>
      <c r="B1" s="14" t="s">
        <v>638</v>
      </c>
      <c r="C1" s="15" t="s">
        <v>639</v>
      </c>
      <c r="D1" s="15" t="s">
        <v>640</v>
      </c>
      <c r="E1" s="15" t="s">
        <v>641</v>
      </c>
      <c r="F1" s="15" t="s">
        <v>642</v>
      </c>
      <c r="G1" s="15" t="s">
        <v>643</v>
      </c>
    </row>
    <row r="2" spans="1:7" hidden="1" x14ac:dyDescent="0.25">
      <c r="A2" s="9">
        <v>1</v>
      </c>
      <c r="B2" s="12" t="s">
        <v>444</v>
      </c>
      <c r="C2" s="16"/>
      <c r="D2" s="9" t="s">
        <v>600</v>
      </c>
      <c r="E2" s="13">
        <v>0</v>
      </c>
      <c r="F2" s="13">
        <v>1000</v>
      </c>
      <c r="G2" s="19" t="e">
        <f>[1]!Tabela2[[#This Row],[VOL.]]*[1]!Tabela2[[#This Row],[UNID.]]</f>
        <v>#VALUE!</v>
      </c>
    </row>
    <row r="3" spans="1:7" hidden="1" x14ac:dyDescent="0.25">
      <c r="A3" s="9">
        <v>2</v>
      </c>
      <c r="B3" s="12" t="s">
        <v>445</v>
      </c>
      <c r="C3" s="16"/>
      <c r="D3" s="9" t="s">
        <v>600</v>
      </c>
      <c r="E3" s="13">
        <v>14</v>
      </c>
      <c r="F3" s="13">
        <v>1000</v>
      </c>
      <c r="G3" s="19" t="e">
        <f>[1]!Tabela2[[#This Row],[VOL.]]*[1]!Tabela2[[#This Row],[UNID.]]</f>
        <v>#VALUE!</v>
      </c>
    </row>
    <row r="4" spans="1:7" hidden="1" x14ac:dyDescent="0.25">
      <c r="A4" s="9">
        <v>3</v>
      </c>
      <c r="B4" s="12" t="s">
        <v>446</v>
      </c>
      <c r="C4" s="16"/>
      <c r="D4" s="9" t="s">
        <v>600</v>
      </c>
      <c r="E4" s="13">
        <v>0</v>
      </c>
      <c r="F4" s="13">
        <v>1000</v>
      </c>
      <c r="G4" s="19">
        <f>[1]!Tabela2[[#This Row],[VOL.]]*[1]!Tabela2[[#This Row],[UNID.]]</f>
        <v>0</v>
      </c>
    </row>
    <row r="5" spans="1:7" hidden="1" x14ac:dyDescent="0.25">
      <c r="A5" s="9">
        <v>4</v>
      </c>
      <c r="B5" s="12" t="s">
        <v>447</v>
      </c>
      <c r="C5" s="16"/>
      <c r="D5" s="9" t="s">
        <v>644</v>
      </c>
      <c r="E5" s="13">
        <v>13</v>
      </c>
      <c r="F5" s="13">
        <v>1000</v>
      </c>
      <c r="G5" s="19">
        <f>[1]!Tabela2[[#This Row],[VOL.]]*[1]!Tabela2[[#This Row],[UNID.]]</f>
        <v>14000</v>
      </c>
    </row>
    <row r="6" spans="1:7" x14ac:dyDescent="0.25">
      <c r="A6" s="9">
        <v>5</v>
      </c>
      <c r="B6" s="12" t="s">
        <v>448</v>
      </c>
      <c r="C6" s="17" t="s">
        <v>601</v>
      </c>
      <c r="D6" s="9" t="s">
        <v>600</v>
      </c>
      <c r="E6" s="13">
        <v>0</v>
      </c>
      <c r="F6" s="13"/>
      <c r="G6" s="19">
        <f>[1]!Tabela2[[#This Row],[VOL.]]*[1]!Tabela2[[#This Row],[UNID.]]</f>
        <v>0</v>
      </c>
    </row>
    <row r="7" spans="1:7" x14ac:dyDescent="0.25">
      <c r="A7" s="9">
        <v>6</v>
      </c>
      <c r="B7" s="12" t="s">
        <v>449</v>
      </c>
      <c r="C7" s="17" t="s">
        <v>602</v>
      </c>
      <c r="D7" s="9" t="s">
        <v>600</v>
      </c>
      <c r="E7" s="13">
        <v>0</v>
      </c>
      <c r="F7" s="13"/>
      <c r="G7" s="19">
        <f>[1]!Tabela2[[#This Row],[VOL.]]*[1]!Tabela2[[#This Row],[UNID.]]</f>
        <v>13000</v>
      </c>
    </row>
    <row r="8" spans="1:7" x14ac:dyDescent="0.25">
      <c r="A8" s="9">
        <v>7</v>
      </c>
      <c r="B8" s="12" t="s">
        <v>448</v>
      </c>
      <c r="C8" s="17" t="s">
        <v>603</v>
      </c>
      <c r="D8" s="9" t="s">
        <v>600</v>
      </c>
      <c r="E8" s="13">
        <v>0</v>
      </c>
      <c r="F8" s="13"/>
      <c r="G8" s="19">
        <f>[1]!Tabela2[[#This Row],[VOL.]]*[1]!Tabela2[[#This Row],[UNID.]]</f>
        <v>0</v>
      </c>
    </row>
    <row r="9" spans="1:7" hidden="1" x14ac:dyDescent="0.25">
      <c r="A9" s="9">
        <v>8</v>
      </c>
      <c r="B9" s="12" t="s">
        <v>450</v>
      </c>
      <c r="C9" s="16" t="s">
        <v>346</v>
      </c>
      <c r="D9" s="9" t="s">
        <v>600</v>
      </c>
      <c r="E9" s="13">
        <v>9</v>
      </c>
      <c r="F9" s="13">
        <v>72</v>
      </c>
      <c r="G9" s="19">
        <f>[1]!Tabela2[[#This Row],[VOL.]]*[1]!Tabela2[[#This Row],[UNID.]]</f>
        <v>0</v>
      </c>
    </row>
    <row r="10" spans="1:7" x14ac:dyDescent="0.25">
      <c r="A10" s="9">
        <v>9</v>
      </c>
      <c r="B10" s="12" t="s">
        <v>451</v>
      </c>
      <c r="C10" s="16" t="s">
        <v>604</v>
      </c>
      <c r="D10" s="9" t="s">
        <v>600</v>
      </c>
      <c r="E10" s="13">
        <v>0</v>
      </c>
      <c r="F10" s="13"/>
      <c r="G10" s="19">
        <f>[1]!Tabela2[[#This Row],[VOL.]]*[1]!Tabela2[[#This Row],[UNID.]]</f>
        <v>0</v>
      </c>
    </row>
    <row r="11" spans="1:7" hidden="1" x14ac:dyDescent="0.25">
      <c r="A11" s="9">
        <v>10</v>
      </c>
      <c r="B11" s="12" t="s">
        <v>452</v>
      </c>
      <c r="C11" s="16" t="s">
        <v>605</v>
      </c>
      <c r="D11" s="9" t="s">
        <v>600</v>
      </c>
      <c r="E11" s="13">
        <v>0</v>
      </c>
      <c r="F11" s="13">
        <v>60</v>
      </c>
      <c r="G11" s="19">
        <f>[1]!Tabela2[[#This Row],[VOL.]]*[1]!Tabela2[[#This Row],[UNID.]]</f>
        <v>648</v>
      </c>
    </row>
    <row r="12" spans="1:7" hidden="1" x14ac:dyDescent="0.25">
      <c r="A12" s="9">
        <v>11</v>
      </c>
      <c r="B12" s="12" t="s">
        <v>453</v>
      </c>
      <c r="C12" s="16" t="s">
        <v>348</v>
      </c>
      <c r="D12" s="9" t="s">
        <v>600</v>
      </c>
      <c r="E12" s="13">
        <v>0</v>
      </c>
      <c r="F12" s="13">
        <v>50</v>
      </c>
      <c r="G12" s="19">
        <f>[1]!Tabela2[[#This Row],[VOL.]]*[1]!Tabela2[[#This Row],[UNID.]]</f>
        <v>0</v>
      </c>
    </row>
    <row r="13" spans="1:7" x14ac:dyDescent="0.25">
      <c r="A13" s="9">
        <v>12</v>
      </c>
      <c r="B13" s="12" t="s">
        <v>454</v>
      </c>
      <c r="C13" s="16" t="s">
        <v>606</v>
      </c>
      <c r="D13" s="9" t="s">
        <v>600</v>
      </c>
      <c r="E13" s="13">
        <v>0</v>
      </c>
      <c r="F13" s="13"/>
      <c r="G13" s="19">
        <f>[1]!Tabela2[[#This Row],[VOL.]]*[1]!Tabela2[[#This Row],[UNID.]]</f>
        <v>0</v>
      </c>
    </row>
    <row r="14" spans="1:7" hidden="1" x14ac:dyDescent="0.25">
      <c r="A14" s="9">
        <v>13</v>
      </c>
      <c r="B14" s="12" t="s">
        <v>455</v>
      </c>
      <c r="C14" s="16" t="s">
        <v>350</v>
      </c>
      <c r="D14" s="9" t="s">
        <v>600</v>
      </c>
      <c r="E14" s="13">
        <v>14</v>
      </c>
      <c r="F14" s="13">
        <v>50</v>
      </c>
      <c r="G14" s="19">
        <f>[1]!Tabela2[[#This Row],[VOL.]]*[1]!Tabela2[[#This Row],[UNID.]]</f>
        <v>0</v>
      </c>
    </row>
    <row r="15" spans="1:7" x14ac:dyDescent="0.25">
      <c r="A15" s="9">
        <v>14</v>
      </c>
      <c r="B15" s="12" t="s">
        <v>456</v>
      </c>
      <c r="C15" s="16" t="s">
        <v>351</v>
      </c>
      <c r="D15" s="9" t="s">
        <v>600</v>
      </c>
      <c r="E15" s="13">
        <v>0</v>
      </c>
      <c r="F15" s="13"/>
      <c r="G15" s="19">
        <f>[1]!Tabela2[[#This Row],[VOL.]]*[1]!Tabela2[[#This Row],[UNID.]]</f>
        <v>0</v>
      </c>
    </row>
    <row r="16" spans="1:7" x14ac:dyDescent="0.25">
      <c r="A16" s="9">
        <v>15</v>
      </c>
      <c r="B16" s="12" t="s">
        <v>457</v>
      </c>
      <c r="C16" s="16" t="s">
        <v>607</v>
      </c>
      <c r="D16" s="9" t="s">
        <v>600</v>
      </c>
      <c r="E16" s="13">
        <v>0</v>
      </c>
      <c r="F16" s="13"/>
      <c r="G16" s="19">
        <f>[1]!Tabela2[[#This Row],[VOL.]]*[1]!Tabela2[[#This Row],[UNID.]]</f>
        <v>700</v>
      </c>
    </row>
    <row r="17" spans="1:7" hidden="1" x14ac:dyDescent="0.25">
      <c r="A17" s="9">
        <v>16</v>
      </c>
      <c r="B17" s="12" t="s">
        <v>458</v>
      </c>
      <c r="C17" s="16" t="s">
        <v>352</v>
      </c>
      <c r="D17" s="9" t="s">
        <v>600</v>
      </c>
      <c r="E17" s="13">
        <v>1</v>
      </c>
      <c r="F17" s="13">
        <v>40</v>
      </c>
      <c r="G17" s="19">
        <f>[1]!Tabela2[[#This Row],[VOL.]]*[1]!Tabela2[[#This Row],[UNID.]]</f>
        <v>0</v>
      </c>
    </row>
    <row r="18" spans="1:7" x14ac:dyDescent="0.25">
      <c r="A18" s="9">
        <v>17</v>
      </c>
      <c r="B18" s="12" t="s">
        <v>459</v>
      </c>
      <c r="C18" s="16" t="s">
        <v>608</v>
      </c>
      <c r="D18" s="9" t="s">
        <v>600</v>
      </c>
      <c r="E18" s="13">
        <v>0</v>
      </c>
      <c r="F18" s="13"/>
      <c r="G18" s="19">
        <f>[1]!Tabela2[[#This Row],[VOL.]]*[1]!Tabela2[[#This Row],[UNID.]]</f>
        <v>0</v>
      </c>
    </row>
    <row r="19" spans="1:7" x14ac:dyDescent="0.25">
      <c r="A19" s="9">
        <v>18</v>
      </c>
      <c r="B19" s="12" t="s">
        <v>460</v>
      </c>
      <c r="C19" s="16" t="s">
        <v>609</v>
      </c>
      <c r="D19" s="9" t="s">
        <v>600</v>
      </c>
      <c r="E19" s="13">
        <v>0</v>
      </c>
      <c r="F19" s="13"/>
      <c r="G19" s="19">
        <f>[1]!Tabela2[[#This Row],[VOL.]]*[1]!Tabela2[[#This Row],[UNID.]]</f>
        <v>40</v>
      </c>
    </row>
    <row r="20" spans="1:7" x14ac:dyDescent="0.25">
      <c r="A20" s="9">
        <v>19</v>
      </c>
      <c r="B20" s="12" t="s">
        <v>461</v>
      </c>
      <c r="C20" s="16" t="s">
        <v>359</v>
      </c>
      <c r="D20" s="9" t="s">
        <v>610</v>
      </c>
      <c r="E20" s="13">
        <v>0</v>
      </c>
      <c r="F20" s="13"/>
      <c r="G20" s="19">
        <f>[1]!Tabela2[[#This Row],[VOL.]]*[1]!Tabela2[[#This Row],[UNID.]]</f>
        <v>0</v>
      </c>
    </row>
    <row r="21" spans="1:7" hidden="1" x14ac:dyDescent="0.25">
      <c r="A21" s="9">
        <v>51</v>
      </c>
      <c r="B21" s="12" t="s">
        <v>462</v>
      </c>
      <c r="C21" s="16" t="s">
        <v>355</v>
      </c>
      <c r="D21" s="9" t="s">
        <v>610</v>
      </c>
      <c r="E21" s="13">
        <v>0</v>
      </c>
      <c r="F21" s="13">
        <v>40</v>
      </c>
      <c r="G21" s="19">
        <f>[1]!Tabela2[[#This Row],[VOL.]]*[1]!Tabela2[[#This Row],[UNID.]]</f>
        <v>0</v>
      </c>
    </row>
    <row r="22" spans="1:7" x14ac:dyDescent="0.25">
      <c r="A22" s="9">
        <v>52</v>
      </c>
      <c r="B22" s="12" t="s">
        <v>461</v>
      </c>
      <c r="C22" s="16" t="s">
        <v>611</v>
      </c>
      <c r="D22" s="9" t="s">
        <v>610</v>
      </c>
      <c r="E22" s="13">
        <v>0</v>
      </c>
      <c r="F22" s="13"/>
      <c r="G22" s="19">
        <f>[1]!Tabela2[[#This Row],[VOL.]]*[1]!Tabela2[[#This Row],[UNID.]]</f>
        <v>0</v>
      </c>
    </row>
    <row r="23" spans="1:7" x14ac:dyDescent="0.25">
      <c r="A23" s="9">
        <v>53</v>
      </c>
      <c r="B23" s="12" t="s">
        <v>461</v>
      </c>
      <c r="C23" s="16" t="s">
        <v>612</v>
      </c>
      <c r="D23" s="9" t="s">
        <v>610</v>
      </c>
      <c r="E23" s="13">
        <v>0</v>
      </c>
      <c r="F23" s="13"/>
      <c r="G23" s="19">
        <f>[1]!Tabela2[[#This Row],[VOL.]]*[1]!Tabela2[[#This Row],[UNID.]]</f>
        <v>0</v>
      </c>
    </row>
    <row r="24" spans="1:7" x14ac:dyDescent="0.25">
      <c r="A24" s="9">
        <v>54</v>
      </c>
      <c r="B24" s="12" t="s">
        <v>461</v>
      </c>
      <c r="C24" s="16" t="s">
        <v>613</v>
      </c>
      <c r="D24" s="9" t="s">
        <v>610</v>
      </c>
      <c r="E24" s="13">
        <v>0</v>
      </c>
      <c r="F24" s="13"/>
      <c r="G24" s="19">
        <f>[1]!Tabela2[[#This Row],[VOL.]]*[1]!Tabela2[[#This Row],[UNID.]]</f>
        <v>0</v>
      </c>
    </row>
    <row r="25" spans="1:7" hidden="1" x14ac:dyDescent="0.25">
      <c r="A25" s="9">
        <v>55</v>
      </c>
      <c r="B25" s="12" t="s">
        <v>461</v>
      </c>
      <c r="C25" s="16" t="s">
        <v>645</v>
      </c>
      <c r="D25" s="9" t="s">
        <v>610</v>
      </c>
      <c r="E25" s="13">
        <v>4</v>
      </c>
      <c r="F25" s="13">
        <v>30</v>
      </c>
      <c r="G25" s="19">
        <f>[1]!Tabela2[[#This Row],[VOL.]]*[1]!Tabela2[[#This Row],[UNID.]]</f>
        <v>0</v>
      </c>
    </row>
    <row r="26" spans="1:7" x14ac:dyDescent="0.25">
      <c r="A26" s="9">
        <v>56</v>
      </c>
      <c r="B26" s="12" t="s">
        <v>461</v>
      </c>
      <c r="C26" s="16" t="s">
        <v>614</v>
      </c>
      <c r="D26" s="9" t="s">
        <v>610</v>
      </c>
      <c r="E26" s="13">
        <v>0</v>
      </c>
      <c r="F26" s="13"/>
      <c r="G26" s="19">
        <f>[1]!Tabela2[[#This Row],[VOL.]]*[1]!Tabela2[[#This Row],[UNID.]]</f>
        <v>0</v>
      </c>
    </row>
    <row r="27" spans="1:7" x14ac:dyDescent="0.25">
      <c r="A27" s="9">
        <v>57</v>
      </c>
      <c r="B27" s="12" t="s">
        <v>461</v>
      </c>
      <c r="C27" s="16" t="s">
        <v>357</v>
      </c>
      <c r="D27" s="9" t="s">
        <v>610</v>
      </c>
      <c r="E27" s="13">
        <v>0</v>
      </c>
      <c r="F27" s="13"/>
      <c r="G27" s="19">
        <f>[1]!Tabela2[[#This Row],[VOL.]]*[1]!Tabela2[[#This Row],[UNID.]]</f>
        <v>120</v>
      </c>
    </row>
    <row r="28" spans="1:7" x14ac:dyDescent="0.25">
      <c r="A28" s="9">
        <v>58</v>
      </c>
      <c r="B28" s="12" t="s">
        <v>461</v>
      </c>
      <c r="C28" s="16" t="s">
        <v>615</v>
      </c>
      <c r="D28" s="9" t="s">
        <v>610</v>
      </c>
      <c r="E28" s="13">
        <v>0</v>
      </c>
      <c r="F28" s="13"/>
      <c r="G28" s="19">
        <f>[1]!Tabela2[[#This Row],[VOL.]]*[1]!Tabela2[[#This Row],[UNID.]]</f>
        <v>0</v>
      </c>
    </row>
    <row r="29" spans="1:7" hidden="1" x14ac:dyDescent="0.25">
      <c r="A29" s="9">
        <v>59</v>
      </c>
      <c r="B29" s="12" t="s">
        <v>461</v>
      </c>
      <c r="C29" s="16" t="s">
        <v>622</v>
      </c>
      <c r="D29" s="9" t="s">
        <v>610</v>
      </c>
      <c r="E29" s="13">
        <v>3</v>
      </c>
      <c r="F29" s="13">
        <v>32</v>
      </c>
      <c r="G29" s="19">
        <f>[1]!Tabela2[[#This Row],[VOL.]]*[1]!Tabela2[[#This Row],[UNID.]]</f>
        <v>0</v>
      </c>
    </row>
    <row r="30" spans="1:7" x14ac:dyDescent="0.25">
      <c r="A30" s="9">
        <v>60</v>
      </c>
      <c r="B30" s="12" t="s">
        <v>461</v>
      </c>
      <c r="C30" s="16" t="s">
        <v>358</v>
      </c>
      <c r="D30" s="9" t="s">
        <v>610</v>
      </c>
      <c r="E30" s="13">
        <v>0</v>
      </c>
      <c r="F30" s="13"/>
      <c r="G30" s="19">
        <f>[1]!Tabela2[[#This Row],[VOL.]]*[1]!Tabela2[[#This Row],[UNID.]]</f>
        <v>0</v>
      </c>
    </row>
    <row r="31" spans="1:7" x14ac:dyDescent="0.25">
      <c r="A31" s="9">
        <v>61</v>
      </c>
      <c r="B31" s="12" t="s">
        <v>461</v>
      </c>
      <c r="C31" s="16" t="s">
        <v>616</v>
      </c>
      <c r="D31" s="9" t="s">
        <v>610</v>
      </c>
      <c r="E31" s="13">
        <v>0</v>
      </c>
      <c r="F31" s="13"/>
      <c r="G31" s="19">
        <f>[1]!Tabela2[[#This Row],[VOL.]]*[1]!Tabela2[[#This Row],[UNID.]]</f>
        <v>96</v>
      </c>
    </row>
    <row r="32" spans="1:7" hidden="1" x14ac:dyDescent="0.25">
      <c r="A32" s="9">
        <v>63</v>
      </c>
      <c r="B32" s="12" t="s">
        <v>463</v>
      </c>
      <c r="C32" s="16" t="s">
        <v>356</v>
      </c>
      <c r="D32" s="9" t="s">
        <v>610</v>
      </c>
      <c r="E32" s="13">
        <v>0</v>
      </c>
      <c r="F32" s="13">
        <v>32</v>
      </c>
      <c r="G32" s="19">
        <f>[1]!Tabela2[[#This Row],[VOL.]]*[1]!Tabela2[[#This Row],[UNID.]]</f>
        <v>0</v>
      </c>
    </row>
    <row r="33" spans="1:7" hidden="1" x14ac:dyDescent="0.25">
      <c r="A33" s="9">
        <v>73</v>
      </c>
      <c r="B33" s="12" t="s">
        <v>464</v>
      </c>
      <c r="C33" s="16" t="s">
        <v>357</v>
      </c>
      <c r="D33" s="9" t="s">
        <v>617</v>
      </c>
      <c r="E33" s="13">
        <v>4</v>
      </c>
      <c r="F33" s="13">
        <v>32</v>
      </c>
      <c r="G33" s="19">
        <f>[1]!Tabela2[[#This Row],[VOL.]]*[1]!Tabela2[[#This Row],[UNID.]]</f>
        <v>0</v>
      </c>
    </row>
    <row r="34" spans="1:7" x14ac:dyDescent="0.25">
      <c r="A34" s="9">
        <v>74</v>
      </c>
      <c r="B34" s="12" t="s">
        <v>465</v>
      </c>
      <c r="C34" s="16" t="s">
        <v>615</v>
      </c>
      <c r="D34" s="9" t="s">
        <v>617</v>
      </c>
      <c r="E34" s="13">
        <v>0</v>
      </c>
      <c r="F34" s="13"/>
      <c r="G34" s="19">
        <f>[1]!Tabela2[[#This Row],[VOL.]]*[1]!Tabela2[[#This Row],[UNID.]]</f>
        <v>0</v>
      </c>
    </row>
    <row r="35" spans="1:7" hidden="1" x14ac:dyDescent="0.25">
      <c r="A35" s="9">
        <v>75</v>
      </c>
      <c r="B35" s="12" t="s">
        <v>465</v>
      </c>
      <c r="C35" s="16" t="s">
        <v>622</v>
      </c>
      <c r="D35" s="9" t="s">
        <v>617</v>
      </c>
      <c r="E35" s="13">
        <v>4</v>
      </c>
      <c r="F35" s="13">
        <v>32</v>
      </c>
      <c r="G35" s="19">
        <f>[1]!Tabela2[[#This Row],[VOL.]]*[1]!Tabela2[[#This Row],[UNID.]]</f>
        <v>128</v>
      </c>
    </row>
    <row r="36" spans="1:7" x14ac:dyDescent="0.25">
      <c r="A36" s="9">
        <v>76</v>
      </c>
      <c r="B36" s="12" t="s">
        <v>465</v>
      </c>
      <c r="C36" s="16" t="s">
        <v>358</v>
      </c>
      <c r="D36" s="9" t="s">
        <v>617</v>
      </c>
      <c r="E36" s="13">
        <v>0</v>
      </c>
      <c r="F36" s="13"/>
      <c r="G36" s="19">
        <f>[1]!Tabela2[[#This Row],[VOL.]]*[1]!Tabela2[[#This Row],[UNID.]]</f>
        <v>0</v>
      </c>
    </row>
    <row r="37" spans="1:7" x14ac:dyDescent="0.25">
      <c r="A37" s="9">
        <v>77</v>
      </c>
      <c r="B37" s="12" t="s">
        <v>465</v>
      </c>
      <c r="C37" s="16" t="s">
        <v>616</v>
      </c>
      <c r="D37" s="9" t="s">
        <v>617</v>
      </c>
      <c r="E37" s="13">
        <v>0</v>
      </c>
      <c r="F37" s="13"/>
      <c r="G37" s="19">
        <f>[1]!Tabela2[[#This Row],[VOL.]]*[1]!Tabela2[[#This Row],[UNID.]]</f>
        <v>128</v>
      </c>
    </row>
    <row r="38" spans="1:7" x14ac:dyDescent="0.25">
      <c r="A38" s="9">
        <v>78</v>
      </c>
      <c r="B38" s="12" t="s">
        <v>465</v>
      </c>
      <c r="C38" s="16" t="s">
        <v>359</v>
      </c>
      <c r="D38" s="9" t="s">
        <v>617</v>
      </c>
      <c r="E38" s="13">
        <v>0</v>
      </c>
      <c r="F38" s="13"/>
      <c r="G38" s="19">
        <f>[1]!Tabela2[[#This Row],[VOL.]]*[1]!Tabela2[[#This Row],[UNID.]]</f>
        <v>0</v>
      </c>
    </row>
    <row r="39" spans="1:7" x14ac:dyDescent="0.25">
      <c r="A39" s="9">
        <v>79</v>
      </c>
      <c r="B39" s="12" t="s">
        <v>465</v>
      </c>
      <c r="C39" s="16" t="s">
        <v>618</v>
      </c>
      <c r="D39" s="9" t="s">
        <v>617</v>
      </c>
      <c r="E39" s="13">
        <v>0</v>
      </c>
      <c r="F39" s="13"/>
      <c r="G39" s="19">
        <f>[1]!Tabela2[[#This Row],[VOL.]]*[1]!Tabela2[[#This Row],[UNID.]]</f>
        <v>0</v>
      </c>
    </row>
    <row r="40" spans="1:7" x14ac:dyDescent="0.25">
      <c r="A40" s="9">
        <v>80</v>
      </c>
      <c r="B40" s="12" t="s">
        <v>465</v>
      </c>
      <c r="C40" s="16" t="s">
        <v>360</v>
      </c>
      <c r="D40" s="9" t="s">
        <v>617</v>
      </c>
      <c r="E40" s="13">
        <v>0</v>
      </c>
      <c r="F40" s="13"/>
      <c r="G40" s="19">
        <f>[1]!Tabela2[[#This Row],[VOL.]]*[1]!Tabela2[[#This Row],[UNID.]]</f>
        <v>0</v>
      </c>
    </row>
    <row r="41" spans="1:7" hidden="1" x14ac:dyDescent="0.25">
      <c r="A41" s="9">
        <v>307</v>
      </c>
      <c r="B41" s="12" t="s">
        <v>466</v>
      </c>
      <c r="C41" s="16" t="s">
        <v>620</v>
      </c>
      <c r="D41" s="9" t="s">
        <v>600</v>
      </c>
      <c r="E41" s="13">
        <v>1</v>
      </c>
      <c r="F41" s="13">
        <v>72</v>
      </c>
      <c r="G41" s="19">
        <f>[1]!Tabela2[[#This Row],[VOL.]]*[1]!Tabela2[[#This Row],[UNID.]]</f>
        <v>0</v>
      </c>
    </row>
    <row r="42" spans="1:7" x14ac:dyDescent="0.25">
      <c r="A42" s="9">
        <v>308</v>
      </c>
      <c r="B42" s="12" t="s">
        <v>466</v>
      </c>
      <c r="C42" s="16" t="s">
        <v>604</v>
      </c>
      <c r="D42" s="9" t="s">
        <v>600</v>
      </c>
      <c r="E42" s="13">
        <v>0</v>
      </c>
      <c r="F42" s="13"/>
      <c r="G42" s="19">
        <f>[1]!Tabela2[[#This Row],[VOL.]]*[1]!Tabela2[[#This Row],[UNID.]]</f>
        <v>0</v>
      </c>
    </row>
    <row r="43" spans="1:7" x14ac:dyDescent="0.25">
      <c r="A43" s="9">
        <v>308</v>
      </c>
      <c r="B43" s="12" t="s">
        <v>466</v>
      </c>
      <c r="C43" s="16" t="s">
        <v>604</v>
      </c>
      <c r="D43" s="9" t="s">
        <v>600</v>
      </c>
      <c r="E43" s="13">
        <v>0</v>
      </c>
      <c r="F43" s="13"/>
      <c r="G43" s="19">
        <f>[1]!Tabela2[[#This Row],[VOL.]]*[1]!Tabela2[[#This Row],[UNID.]]</f>
        <v>72</v>
      </c>
    </row>
    <row r="44" spans="1:7" hidden="1" x14ac:dyDescent="0.25">
      <c r="A44" s="9">
        <v>309</v>
      </c>
      <c r="B44" s="12" t="s">
        <v>466</v>
      </c>
      <c r="C44" s="16" t="s">
        <v>605</v>
      </c>
      <c r="D44" s="9" t="s">
        <v>600</v>
      </c>
      <c r="E44" s="13">
        <v>0</v>
      </c>
      <c r="F44" s="13">
        <v>60</v>
      </c>
      <c r="G44" s="19">
        <f>[1]!Tabela2[[#This Row],[VOL.]]*[1]!Tabela2[[#This Row],[UNID.]]</f>
        <v>0</v>
      </c>
    </row>
    <row r="45" spans="1:7" x14ac:dyDescent="0.25">
      <c r="A45" s="9">
        <v>309</v>
      </c>
      <c r="B45" s="12" t="s">
        <v>466</v>
      </c>
      <c r="C45" s="16" t="s">
        <v>605</v>
      </c>
      <c r="D45" s="9" t="s">
        <v>600</v>
      </c>
      <c r="E45" s="13">
        <v>0</v>
      </c>
      <c r="F45" s="13"/>
      <c r="G45" s="19">
        <f>[1]!Tabela2[[#This Row],[VOL.]]*[1]!Tabela2[[#This Row],[UNID.]]</f>
        <v>0</v>
      </c>
    </row>
    <row r="46" spans="1:7" x14ac:dyDescent="0.25">
      <c r="A46" s="9">
        <v>310</v>
      </c>
      <c r="B46" s="12" t="s">
        <v>466</v>
      </c>
      <c r="C46" s="16" t="s">
        <v>348</v>
      </c>
      <c r="D46" s="9" t="s">
        <v>600</v>
      </c>
      <c r="E46" s="13">
        <v>0</v>
      </c>
      <c r="F46" s="13"/>
      <c r="G46" s="19">
        <f>[1]!Tabela2[[#This Row],[VOL.]]*[1]!Tabela2[[#This Row],[UNID.]]</f>
        <v>0</v>
      </c>
    </row>
    <row r="47" spans="1:7" x14ac:dyDescent="0.25">
      <c r="A47" s="9">
        <v>334</v>
      </c>
      <c r="B47" s="12" t="s">
        <v>467</v>
      </c>
      <c r="C47" s="16" t="s">
        <v>612</v>
      </c>
      <c r="D47" s="9" t="s">
        <v>600</v>
      </c>
      <c r="E47" s="13"/>
      <c r="F47" s="13"/>
      <c r="G47" s="19">
        <f>[1]!Tabela2[[#This Row],[VOL.]]*[1]!Tabela2[[#This Row],[UNID.]]</f>
        <v>0</v>
      </c>
    </row>
    <row r="48" spans="1:7" x14ac:dyDescent="0.25">
      <c r="A48" s="9">
        <v>310</v>
      </c>
      <c r="B48" s="12" t="s">
        <v>466</v>
      </c>
      <c r="C48" s="16" t="s">
        <v>348</v>
      </c>
      <c r="D48" s="9" t="s">
        <v>600</v>
      </c>
      <c r="E48" s="13">
        <v>0</v>
      </c>
      <c r="F48" s="13"/>
      <c r="G48" s="19">
        <f>[1]!Tabela2[[#This Row],[VOL.]]*[1]!Tabela2[[#This Row],[UNID.]]</f>
        <v>0</v>
      </c>
    </row>
    <row r="49" spans="1:7" x14ac:dyDescent="0.25">
      <c r="A49" s="9">
        <v>311</v>
      </c>
      <c r="B49" s="12" t="s">
        <v>468</v>
      </c>
      <c r="C49" s="16" t="s">
        <v>606</v>
      </c>
      <c r="D49" s="9" t="s">
        <v>600</v>
      </c>
      <c r="E49" s="13">
        <v>0</v>
      </c>
      <c r="F49" s="13"/>
      <c r="G49" s="19">
        <f>[1]!Tabela2[[#This Row],[VOL.]]*[1]!Tabela2[[#This Row],[UNID.]]</f>
        <v>0</v>
      </c>
    </row>
    <row r="50" spans="1:7" x14ac:dyDescent="0.25">
      <c r="A50" s="9">
        <v>311</v>
      </c>
      <c r="B50" s="12" t="s">
        <v>468</v>
      </c>
      <c r="C50" s="16" t="s">
        <v>606</v>
      </c>
      <c r="D50" s="9" t="s">
        <v>600</v>
      </c>
      <c r="E50" s="13">
        <v>0</v>
      </c>
      <c r="F50" s="13"/>
      <c r="G50" s="19">
        <f>[1]!Tabela2[[#This Row],[VOL.]]*[1]!Tabela2[[#This Row],[UNID.]]</f>
        <v>0</v>
      </c>
    </row>
    <row r="51" spans="1:7" x14ac:dyDescent="0.25">
      <c r="A51" s="9">
        <v>1818</v>
      </c>
      <c r="B51" s="12" t="s">
        <v>461</v>
      </c>
      <c r="C51" s="16" t="s">
        <v>350</v>
      </c>
      <c r="D51" s="9" t="s">
        <v>610</v>
      </c>
      <c r="E51" s="13"/>
      <c r="F51" s="13"/>
      <c r="G51" s="19">
        <f>[1]!Tabela2[[#This Row],[VOL.]]*[1]!Tabela2[[#This Row],[UNID.]]</f>
        <v>0</v>
      </c>
    </row>
    <row r="52" spans="1:7" x14ac:dyDescent="0.25">
      <c r="A52" s="9">
        <v>312</v>
      </c>
      <c r="B52" s="12" t="s">
        <v>469</v>
      </c>
      <c r="C52" s="16" t="s">
        <v>350</v>
      </c>
      <c r="D52" s="9" t="s">
        <v>600</v>
      </c>
      <c r="E52" s="13">
        <v>0</v>
      </c>
      <c r="F52" s="13"/>
      <c r="G52" s="19">
        <f>[1]!Tabela2[[#This Row],[VOL.]]*[1]!Tabela2[[#This Row],[UNID.]]</f>
        <v>0</v>
      </c>
    </row>
    <row r="53" spans="1:7" x14ac:dyDescent="0.25">
      <c r="A53" s="9">
        <v>312</v>
      </c>
      <c r="B53" s="12" t="s">
        <v>469</v>
      </c>
      <c r="C53" s="16" t="s">
        <v>619</v>
      </c>
      <c r="D53" s="9" t="s">
        <v>600</v>
      </c>
      <c r="E53" s="13">
        <v>0</v>
      </c>
      <c r="F53" s="13"/>
      <c r="G53" s="19">
        <f>[1]!Tabela2[[#This Row],[VOL.]]*[1]!Tabela2[[#This Row],[UNID.]]</f>
        <v>0</v>
      </c>
    </row>
    <row r="54" spans="1:7" hidden="1" x14ac:dyDescent="0.25">
      <c r="A54" s="9">
        <v>313</v>
      </c>
      <c r="B54" s="12" t="s">
        <v>470</v>
      </c>
      <c r="C54" s="16" t="s">
        <v>351</v>
      </c>
      <c r="D54" s="9" t="s">
        <v>600</v>
      </c>
      <c r="E54" s="13">
        <v>2</v>
      </c>
      <c r="F54" s="13">
        <v>50</v>
      </c>
      <c r="G54" s="19">
        <f>[1]!Tabela2[[#This Row],[VOL.]]*[1]!Tabela2[[#This Row],[UNID.]]</f>
        <v>0</v>
      </c>
    </row>
    <row r="55" spans="1:7" hidden="1" x14ac:dyDescent="0.25">
      <c r="A55" s="9">
        <v>313</v>
      </c>
      <c r="B55" s="12" t="s">
        <v>470</v>
      </c>
      <c r="C55" s="16" t="s">
        <v>351</v>
      </c>
      <c r="D55" s="9" t="s">
        <v>600</v>
      </c>
      <c r="E55" s="13">
        <v>0</v>
      </c>
      <c r="F55" s="13">
        <v>50</v>
      </c>
      <c r="G55" s="19">
        <f>[1]!Tabela2[[#This Row],[VOL.]]*[1]!Tabela2[[#This Row],[UNID.]]</f>
        <v>0</v>
      </c>
    </row>
    <row r="56" spans="1:7" hidden="1" x14ac:dyDescent="0.25">
      <c r="A56" s="9">
        <v>314</v>
      </c>
      <c r="B56" s="12" t="s">
        <v>471</v>
      </c>
      <c r="C56" s="16" t="s">
        <v>607</v>
      </c>
      <c r="D56" s="9" t="s">
        <v>600</v>
      </c>
      <c r="E56" s="13">
        <v>1</v>
      </c>
      <c r="F56" s="13">
        <v>50</v>
      </c>
      <c r="G56" s="19">
        <f>[1]!Tabela2[[#This Row],[VOL.]]*[1]!Tabela2[[#This Row],[UNID.]]</f>
        <v>100</v>
      </c>
    </row>
    <row r="57" spans="1:7" hidden="1" x14ac:dyDescent="0.25">
      <c r="A57" s="9">
        <v>314</v>
      </c>
      <c r="B57" s="12" t="s">
        <v>471</v>
      </c>
      <c r="C57" s="16" t="s">
        <v>607</v>
      </c>
      <c r="D57" s="9" t="s">
        <v>600</v>
      </c>
      <c r="E57" s="13">
        <v>0</v>
      </c>
      <c r="F57" s="13">
        <v>50</v>
      </c>
      <c r="G57" s="19">
        <f>[1]!Tabela2[[#This Row],[VOL.]]*[1]!Tabela2[[#This Row],[UNID.]]</f>
        <v>0</v>
      </c>
    </row>
    <row r="58" spans="1:7" x14ac:dyDescent="0.25">
      <c r="A58" s="9">
        <v>315</v>
      </c>
      <c r="B58" s="12" t="s">
        <v>472</v>
      </c>
      <c r="C58" s="16" t="s">
        <v>352</v>
      </c>
      <c r="D58" s="9" t="s">
        <v>600</v>
      </c>
      <c r="E58" s="13">
        <v>0</v>
      </c>
      <c r="F58" s="13"/>
      <c r="G58" s="19">
        <f>[1]!Tabela2[[#This Row],[VOL.]]*[1]!Tabela2[[#This Row],[UNID.]]</f>
        <v>50</v>
      </c>
    </row>
    <row r="59" spans="1:7" x14ac:dyDescent="0.25">
      <c r="A59" s="9">
        <v>315</v>
      </c>
      <c r="B59" s="12" t="s">
        <v>472</v>
      </c>
      <c r="C59" s="16" t="s">
        <v>352</v>
      </c>
      <c r="D59" s="9" t="s">
        <v>600</v>
      </c>
      <c r="E59" s="13">
        <v>0</v>
      </c>
      <c r="F59" s="13"/>
      <c r="G59" s="19">
        <f>[1]!Tabela2[[#This Row],[VOL.]]*[1]!Tabela2[[#This Row],[UNID.]]</f>
        <v>0</v>
      </c>
    </row>
    <row r="60" spans="1:7" x14ac:dyDescent="0.25">
      <c r="A60" s="9">
        <v>316</v>
      </c>
      <c r="B60" s="12" t="s">
        <v>473</v>
      </c>
      <c r="C60" s="16" t="s">
        <v>608</v>
      </c>
      <c r="D60" s="9" t="s">
        <v>600</v>
      </c>
      <c r="E60" s="13">
        <v>0</v>
      </c>
      <c r="F60" s="13"/>
      <c r="G60" s="19">
        <f>[1]!Tabela2[[#This Row],[VOL.]]*[1]!Tabela2[[#This Row],[UNID.]]</f>
        <v>0</v>
      </c>
    </row>
    <row r="61" spans="1:7" x14ac:dyDescent="0.25">
      <c r="A61" s="9">
        <v>316</v>
      </c>
      <c r="B61" s="12" t="s">
        <v>473</v>
      </c>
      <c r="C61" s="16" t="s">
        <v>608</v>
      </c>
      <c r="D61" s="9" t="s">
        <v>600</v>
      </c>
      <c r="E61" s="13">
        <v>0</v>
      </c>
      <c r="F61" s="13"/>
      <c r="G61" s="19">
        <f>[1]!Tabela2[[#This Row],[VOL.]]*[1]!Tabela2[[#This Row],[UNID.]]</f>
        <v>0</v>
      </c>
    </row>
    <row r="62" spans="1:7" x14ac:dyDescent="0.25">
      <c r="A62" s="9">
        <v>317</v>
      </c>
      <c r="B62" s="12" t="s">
        <v>474</v>
      </c>
      <c r="C62" s="16" t="s">
        <v>609</v>
      </c>
      <c r="D62" s="9" t="s">
        <v>600</v>
      </c>
      <c r="E62" s="13">
        <v>0</v>
      </c>
      <c r="F62" s="13"/>
      <c r="G62" s="19">
        <f>[1]!Tabela2[[#This Row],[VOL.]]*[1]!Tabela2[[#This Row],[UNID.]]</f>
        <v>0</v>
      </c>
    </row>
    <row r="63" spans="1:7" x14ac:dyDescent="0.25">
      <c r="A63" s="9">
        <v>1827</v>
      </c>
      <c r="B63" s="12" t="s">
        <v>463</v>
      </c>
      <c r="C63" s="16" t="s">
        <v>351</v>
      </c>
      <c r="D63" s="9" t="s">
        <v>610</v>
      </c>
      <c r="E63" s="13"/>
      <c r="F63" s="13"/>
      <c r="G63" s="19">
        <f>[1]!Tabela2[[#This Row],[VOL.]]*[1]!Tabela2[[#This Row],[UNID.]]</f>
        <v>0</v>
      </c>
    </row>
    <row r="64" spans="1:7" x14ac:dyDescent="0.25">
      <c r="A64" s="9">
        <v>317</v>
      </c>
      <c r="B64" s="12" t="s">
        <v>474</v>
      </c>
      <c r="C64" s="16" t="s">
        <v>609</v>
      </c>
      <c r="D64" s="9" t="s">
        <v>600</v>
      </c>
      <c r="E64" s="13">
        <v>0</v>
      </c>
      <c r="F64" s="13"/>
      <c r="G64" s="19">
        <f>[1]!Tabela2[[#This Row],[VOL.]]*[1]!Tabela2[[#This Row],[UNID.]]</f>
        <v>0</v>
      </c>
    </row>
    <row r="65" spans="1:7" x14ac:dyDescent="0.25">
      <c r="A65" s="9">
        <v>318</v>
      </c>
      <c r="B65" s="12" t="s">
        <v>475</v>
      </c>
      <c r="C65" s="16" t="s">
        <v>355</v>
      </c>
      <c r="D65" s="9" t="s">
        <v>600</v>
      </c>
      <c r="E65" s="13">
        <v>0</v>
      </c>
      <c r="F65" s="13"/>
      <c r="G65" s="19">
        <f>[1]!Tabela2[[#This Row],[VOL.]]*[1]!Tabela2[[#This Row],[UNID.]]</f>
        <v>0</v>
      </c>
    </row>
    <row r="66" spans="1:7" x14ac:dyDescent="0.25">
      <c r="A66" s="9">
        <v>318</v>
      </c>
      <c r="B66" s="12" t="s">
        <v>475</v>
      </c>
      <c r="C66" s="16" t="s">
        <v>355</v>
      </c>
      <c r="D66" s="9" t="s">
        <v>600</v>
      </c>
      <c r="E66" s="13">
        <v>0</v>
      </c>
      <c r="F66" s="13"/>
      <c r="G66" s="19">
        <f>[1]!Tabela2[[#This Row],[VOL.]]*[1]!Tabela2[[#This Row],[UNID.]]</f>
        <v>0</v>
      </c>
    </row>
    <row r="67" spans="1:7" hidden="1" x14ac:dyDescent="0.25">
      <c r="A67" s="9">
        <v>319</v>
      </c>
      <c r="B67" s="12" t="s">
        <v>476</v>
      </c>
      <c r="C67" s="16" t="s">
        <v>611</v>
      </c>
      <c r="D67" s="9" t="s">
        <v>600</v>
      </c>
      <c r="E67" s="13">
        <v>0</v>
      </c>
      <c r="F67" s="13">
        <v>40</v>
      </c>
      <c r="G67" s="19">
        <f>[1]!Tabela2[[#This Row],[VOL.]]*[1]!Tabela2[[#This Row],[UNID.]]</f>
        <v>0</v>
      </c>
    </row>
    <row r="68" spans="1:7" x14ac:dyDescent="0.25">
      <c r="A68" s="9">
        <v>319</v>
      </c>
      <c r="B68" s="12" t="s">
        <v>476</v>
      </c>
      <c r="C68" s="16" t="s">
        <v>611</v>
      </c>
      <c r="D68" s="9" t="s">
        <v>600</v>
      </c>
      <c r="E68" s="13">
        <v>0</v>
      </c>
      <c r="F68" s="13"/>
      <c r="G68" s="19">
        <f>[1]!Tabela2[[#This Row],[VOL.]]*[1]!Tabela2[[#This Row],[UNID.]]</f>
        <v>0</v>
      </c>
    </row>
    <row r="69" spans="1:7" hidden="1" x14ac:dyDescent="0.25">
      <c r="A69" s="9">
        <v>320</v>
      </c>
      <c r="B69" s="12" t="s">
        <v>477</v>
      </c>
      <c r="C69" s="16" t="s">
        <v>612</v>
      </c>
      <c r="D69" s="9" t="s">
        <v>600</v>
      </c>
      <c r="E69" s="13">
        <v>0</v>
      </c>
      <c r="F69" s="13">
        <v>32</v>
      </c>
      <c r="G69" s="19">
        <f>[1]!Tabela2[[#This Row],[VOL.]]*[1]!Tabela2[[#This Row],[UNID.]]</f>
        <v>0</v>
      </c>
    </row>
    <row r="70" spans="1:7" x14ac:dyDescent="0.25">
      <c r="A70" s="9">
        <v>320</v>
      </c>
      <c r="B70" s="12" t="s">
        <v>477</v>
      </c>
      <c r="C70" s="16" t="s">
        <v>612</v>
      </c>
      <c r="D70" s="9" t="s">
        <v>600</v>
      </c>
      <c r="E70" s="13">
        <v>0</v>
      </c>
      <c r="F70" s="13"/>
      <c r="G70" s="19">
        <f>[1]!Tabela2[[#This Row],[VOL.]]*[1]!Tabela2[[#This Row],[UNID.]]</f>
        <v>0</v>
      </c>
    </row>
    <row r="71" spans="1:7" hidden="1" x14ac:dyDescent="0.25">
      <c r="A71" s="9">
        <v>321</v>
      </c>
      <c r="B71" s="12" t="s">
        <v>478</v>
      </c>
      <c r="C71" s="16" t="s">
        <v>620</v>
      </c>
      <c r="D71" s="9" t="s">
        <v>600</v>
      </c>
      <c r="E71" s="13">
        <v>0</v>
      </c>
      <c r="F71" s="13">
        <v>72</v>
      </c>
      <c r="G71" s="19">
        <f>[1]!Tabela2[[#This Row],[VOL.]]*[1]!Tabela2[[#This Row],[UNID.]]</f>
        <v>0</v>
      </c>
    </row>
    <row r="72" spans="1:7" hidden="1" x14ac:dyDescent="0.25">
      <c r="A72" s="9">
        <v>321</v>
      </c>
      <c r="B72" s="12" t="s">
        <v>478</v>
      </c>
      <c r="C72" s="16" t="s">
        <v>620</v>
      </c>
      <c r="D72" s="9" t="s">
        <v>600</v>
      </c>
      <c r="E72" s="13">
        <v>0</v>
      </c>
      <c r="F72" s="13">
        <v>72</v>
      </c>
      <c r="G72" s="19">
        <f>[1]!Tabela2[[#This Row],[VOL.]]*[1]!Tabela2[[#This Row],[UNID.]]</f>
        <v>0</v>
      </c>
    </row>
    <row r="73" spans="1:7" hidden="1" x14ac:dyDescent="0.25">
      <c r="A73" s="9">
        <v>322</v>
      </c>
      <c r="B73" s="12" t="s">
        <v>478</v>
      </c>
      <c r="C73" s="16" t="s">
        <v>604</v>
      </c>
      <c r="D73" s="9" t="s">
        <v>600</v>
      </c>
      <c r="E73" s="13">
        <v>0</v>
      </c>
      <c r="F73" s="13">
        <v>72</v>
      </c>
      <c r="G73" s="19">
        <f>[1]!Tabela2[[#This Row],[VOL.]]*[1]!Tabela2[[#This Row],[UNID.]]</f>
        <v>0</v>
      </c>
    </row>
    <row r="74" spans="1:7" hidden="1" x14ac:dyDescent="0.25">
      <c r="A74" s="9">
        <v>322</v>
      </c>
      <c r="B74" s="12" t="s">
        <v>478</v>
      </c>
      <c r="C74" s="16" t="s">
        <v>604</v>
      </c>
      <c r="D74" s="9" t="s">
        <v>600</v>
      </c>
      <c r="E74" s="13">
        <v>0</v>
      </c>
      <c r="F74" s="13">
        <v>72</v>
      </c>
      <c r="G74" s="19">
        <f>[1]!Tabela2[[#This Row],[VOL.]]*[1]!Tabela2[[#This Row],[UNID.]]</f>
        <v>0</v>
      </c>
    </row>
    <row r="75" spans="1:7" hidden="1" x14ac:dyDescent="0.25">
      <c r="A75" s="9">
        <v>323</v>
      </c>
      <c r="B75" s="12" t="s">
        <v>478</v>
      </c>
      <c r="C75" s="16" t="s">
        <v>605</v>
      </c>
      <c r="D75" s="9" t="s">
        <v>600</v>
      </c>
      <c r="E75" s="13">
        <v>0</v>
      </c>
      <c r="F75" s="13">
        <v>60</v>
      </c>
      <c r="G75" s="19">
        <f>[1]!Tabela2[[#This Row],[VOL.]]*[1]!Tabela2[[#This Row],[UNID.]]</f>
        <v>0</v>
      </c>
    </row>
    <row r="76" spans="1:7" x14ac:dyDescent="0.25">
      <c r="A76" s="9">
        <v>323</v>
      </c>
      <c r="B76" s="12" t="s">
        <v>478</v>
      </c>
      <c r="C76" s="16" t="s">
        <v>605</v>
      </c>
      <c r="D76" s="9" t="s">
        <v>600</v>
      </c>
      <c r="E76" s="13">
        <v>0</v>
      </c>
      <c r="F76" s="13"/>
      <c r="G76" s="19">
        <f>[1]!Tabela2[[#This Row],[VOL.]]*[1]!Tabela2[[#This Row],[UNID.]]</f>
        <v>0</v>
      </c>
    </row>
    <row r="77" spans="1:7" hidden="1" x14ac:dyDescent="0.25">
      <c r="A77" s="9">
        <v>324</v>
      </c>
      <c r="B77" s="12" t="s">
        <v>478</v>
      </c>
      <c r="C77" s="16" t="s">
        <v>348</v>
      </c>
      <c r="D77" s="9" t="s">
        <v>600</v>
      </c>
      <c r="E77" s="13">
        <v>0</v>
      </c>
      <c r="F77" s="13">
        <v>60</v>
      </c>
      <c r="G77" s="19">
        <f>[1]!Tabela2[[#This Row],[VOL.]]*[1]!Tabela2[[#This Row],[UNID.]]</f>
        <v>0</v>
      </c>
    </row>
    <row r="78" spans="1:7" hidden="1" x14ac:dyDescent="0.25">
      <c r="A78" s="9">
        <v>324</v>
      </c>
      <c r="B78" s="12" t="s">
        <v>478</v>
      </c>
      <c r="C78" s="16" t="s">
        <v>621</v>
      </c>
      <c r="D78" s="9" t="s">
        <v>600</v>
      </c>
      <c r="E78" s="13">
        <v>0</v>
      </c>
      <c r="F78" s="13">
        <v>60</v>
      </c>
      <c r="G78" s="19">
        <f>[1]!Tabela2[[#This Row],[VOL.]]*[1]!Tabela2[[#This Row],[UNID.]]</f>
        <v>0</v>
      </c>
    </row>
    <row r="79" spans="1:7" x14ac:dyDescent="0.25">
      <c r="A79" s="9">
        <v>325</v>
      </c>
      <c r="B79" s="12" t="s">
        <v>478</v>
      </c>
      <c r="C79" s="16" t="s">
        <v>606</v>
      </c>
      <c r="D79" s="9" t="s">
        <v>600</v>
      </c>
      <c r="E79" s="13">
        <v>0</v>
      </c>
      <c r="F79" s="13"/>
      <c r="G79" s="19">
        <f>[1]!Tabela2[[#This Row],[VOL.]]*[1]!Tabela2[[#This Row],[UNID.]]</f>
        <v>0</v>
      </c>
    </row>
    <row r="80" spans="1:7" hidden="1" x14ac:dyDescent="0.25">
      <c r="A80" s="9">
        <v>325</v>
      </c>
      <c r="B80" s="12" t="s">
        <v>478</v>
      </c>
      <c r="C80" s="16" t="s">
        <v>606</v>
      </c>
      <c r="D80" s="9" t="s">
        <v>600</v>
      </c>
      <c r="E80" s="13">
        <v>0</v>
      </c>
      <c r="F80" s="13">
        <v>50</v>
      </c>
      <c r="G80" s="19">
        <f>[1]!Tabela2[[#This Row],[VOL.]]*[1]!Tabela2[[#This Row],[UNID.]]</f>
        <v>0</v>
      </c>
    </row>
    <row r="81" spans="1:7" hidden="1" x14ac:dyDescent="0.25">
      <c r="A81" s="9">
        <v>326</v>
      </c>
      <c r="B81" s="12" t="s">
        <v>479</v>
      </c>
      <c r="C81" s="16" t="s">
        <v>350</v>
      </c>
      <c r="D81" s="9" t="s">
        <v>600</v>
      </c>
      <c r="E81" s="13">
        <v>0</v>
      </c>
      <c r="F81" s="13">
        <v>50</v>
      </c>
      <c r="G81" s="19">
        <f>[1]!Tabela2[[#This Row],[VOL.]]*[1]!Tabela2[[#This Row],[UNID.]]</f>
        <v>0</v>
      </c>
    </row>
    <row r="82" spans="1:7" hidden="1" x14ac:dyDescent="0.25">
      <c r="A82" s="9">
        <v>326</v>
      </c>
      <c r="B82" s="12" t="s">
        <v>478</v>
      </c>
      <c r="C82" s="16" t="s">
        <v>350</v>
      </c>
      <c r="D82" s="9" t="s">
        <v>600</v>
      </c>
      <c r="E82" s="13">
        <v>0</v>
      </c>
      <c r="F82" s="13">
        <v>50</v>
      </c>
      <c r="G82" s="19">
        <f>[1]!Tabela2[[#This Row],[VOL.]]*[1]!Tabela2[[#This Row],[UNID.]]</f>
        <v>0</v>
      </c>
    </row>
    <row r="83" spans="1:7" x14ac:dyDescent="0.25">
      <c r="A83" s="9">
        <v>81</v>
      </c>
      <c r="B83" s="12" t="s">
        <v>480</v>
      </c>
      <c r="C83" s="16" t="s">
        <v>607</v>
      </c>
      <c r="D83" s="9" t="s">
        <v>600</v>
      </c>
      <c r="E83" s="13"/>
      <c r="F83" s="13"/>
      <c r="G83" s="19">
        <f>[1]!Tabela2[[#This Row],[VOL.]]*[1]!Tabela2[[#This Row],[UNID.]]</f>
        <v>0</v>
      </c>
    </row>
    <row r="84" spans="1:7" hidden="1" x14ac:dyDescent="0.25">
      <c r="A84" s="9">
        <v>82</v>
      </c>
      <c r="B84" s="12" t="s">
        <v>480</v>
      </c>
      <c r="C84" s="16" t="s">
        <v>352</v>
      </c>
      <c r="D84" s="9" t="s">
        <v>600</v>
      </c>
      <c r="E84" s="13">
        <v>0</v>
      </c>
      <c r="F84" s="13">
        <v>33</v>
      </c>
      <c r="G84" s="19">
        <f>[1]!Tabela2[[#This Row],[VOL.]]*[1]!Tabela2[[#This Row],[UNID.]]</f>
        <v>0</v>
      </c>
    </row>
    <row r="85" spans="1:7" x14ac:dyDescent="0.25">
      <c r="A85" s="9">
        <v>83</v>
      </c>
      <c r="B85" s="12" t="s">
        <v>480</v>
      </c>
      <c r="C85" s="16" t="s">
        <v>608</v>
      </c>
      <c r="D85" s="9" t="s">
        <v>600</v>
      </c>
      <c r="E85" s="13">
        <v>0</v>
      </c>
      <c r="F85" s="13"/>
      <c r="G85" s="19">
        <f>[1]!Tabela2[[#This Row],[VOL.]]*[1]!Tabela2[[#This Row],[UNID.]]</f>
        <v>0</v>
      </c>
    </row>
    <row r="86" spans="1:7" hidden="1" x14ac:dyDescent="0.25">
      <c r="A86" s="9">
        <v>84</v>
      </c>
      <c r="B86" s="12" t="s">
        <v>481</v>
      </c>
      <c r="C86" s="16" t="s">
        <v>609</v>
      </c>
      <c r="D86" s="9" t="s">
        <v>600</v>
      </c>
      <c r="E86" s="13">
        <v>0</v>
      </c>
      <c r="F86" s="13">
        <v>36</v>
      </c>
      <c r="G86" s="19">
        <f>[1]!Tabela2[[#This Row],[VOL.]]*[1]!Tabela2[[#This Row],[UNID.]]</f>
        <v>0</v>
      </c>
    </row>
    <row r="87" spans="1:7" hidden="1" x14ac:dyDescent="0.25">
      <c r="A87" s="9">
        <v>85</v>
      </c>
      <c r="B87" s="12" t="s">
        <v>482</v>
      </c>
      <c r="C87" s="16" t="s">
        <v>355</v>
      </c>
      <c r="D87" s="9" t="s">
        <v>600</v>
      </c>
      <c r="E87" s="13">
        <v>2</v>
      </c>
      <c r="F87" s="13">
        <v>36</v>
      </c>
      <c r="G87" s="19">
        <f>[1]!Tabela2[[#This Row],[VOL.]]*[1]!Tabela2[[#This Row],[UNID.]]</f>
        <v>0</v>
      </c>
    </row>
    <row r="88" spans="1:7" hidden="1" x14ac:dyDescent="0.25">
      <c r="A88" s="9">
        <v>86</v>
      </c>
      <c r="B88" s="12" t="s">
        <v>483</v>
      </c>
      <c r="C88" s="16" t="s">
        <v>611</v>
      </c>
      <c r="D88" s="9" t="s">
        <v>600</v>
      </c>
      <c r="E88" s="13">
        <v>0</v>
      </c>
      <c r="F88" s="13">
        <v>30</v>
      </c>
      <c r="G88" s="19">
        <f>[1]!Tabela2[[#This Row],[VOL.]]*[1]!Tabela2[[#This Row],[UNID.]]</f>
        <v>0</v>
      </c>
    </row>
    <row r="89" spans="1:7" x14ac:dyDescent="0.25">
      <c r="A89" s="9">
        <v>87</v>
      </c>
      <c r="B89" s="12" t="s">
        <v>484</v>
      </c>
      <c r="C89" s="16" t="s">
        <v>612</v>
      </c>
      <c r="D89" s="9" t="s">
        <v>600</v>
      </c>
      <c r="E89" s="13">
        <v>0</v>
      </c>
      <c r="F89" s="13">
        <v>30</v>
      </c>
      <c r="G89" s="19">
        <f>[1]!Tabela2[[#This Row],[VOL.]]*[1]!Tabela2[[#This Row],[UNID.]]</f>
        <v>72</v>
      </c>
    </row>
    <row r="90" spans="1:7" hidden="1" x14ac:dyDescent="0.25">
      <c r="A90" s="9">
        <v>88</v>
      </c>
      <c r="B90" s="12" t="s">
        <v>485</v>
      </c>
      <c r="C90" s="16" t="s">
        <v>613</v>
      </c>
      <c r="D90" s="9" t="s">
        <v>600</v>
      </c>
      <c r="E90" s="13">
        <v>0</v>
      </c>
      <c r="F90" s="13">
        <v>30</v>
      </c>
      <c r="G90" s="19">
        <f>[1]!Tabela2[[#This Row],[VOL.]]*[1]!Tabela2[[#This Row],[UNID.]]</f>
        <v>0</v>
      </c>
    </row>
    <row r="91" spans="1:7" hidden="1" x14ac:dyDescent="0.25">
      <c r="A91" s="9">
        <v>89</v>
      </c>
      <c r="B91" s="12" t="s">
        <v>486</v>
      </c>
      <c r="C91" s="16" t="s">
        <v>356</v>
      </c>
      <c r="D91" s="9" t="s">
        <v>600</v>
      </c>
      <c r="E91" s="13">
        <v>4</v>
      </c>
      <c r="F91" s="13">
        <v>30</v>
      </c>
      <c r="G91" s="19">
        <f>[1]!Tabela2[[#This Row],[VOL.]]*[1]!Tabela2[[#This Row],[UNID.]]</f>
        <v>0</v>
      </c>
    </row>
    <row r="92" spans="1:7" x14ac:dyDescent="0.25">
      <c r="A92" s="9">
        <v>90</v>
      </c>
      <c r="B92" s="12" t="s">
        <v>487</v>
      </c>
      <c r="C92" s="16" t="s">
        <v>614</v>
      </c>
      <c r="D92" s="9" t="s">
        <v>600</v>
      </c>
      <c r="E92" s="13">
        <v>0</v>
      </c>
      <c r="F92" s="13">
        <v>30</v>
      </c>
      <c r="G92" s="19">
        <f>[1]!Tabela2[[#This Row],[VOL.]]*[1]!Tabela2[[#This Row],[UNID.]]</f>
        <v>0</v>
      </c>
    </row>
    <row r="93" spans="1:7" x14ac:dyDescent="0.25">
      <c r="A93" s="9">
        <v>91</v>
      </c>
      <c r="B93" s="12" t="s">
        <v>488</v>
      </c>
      <c r="C93" s="16" t="s">
        <v>357</v>
      </c>
      <c r="D93" s="9" t="s">
        <v>600</v>
      </c>
      <c r="E93" s="13">
        <v>0</v>
      </c>
      <c r="F93" s="13">
        <v>30</v>
      </c>
      <c r="G93" s="19">
        <f>[1]!Tabela2[[#This Row],[VOL.]]*[1]!Tabela2[[#This Row],[UNID.]]</f>
        <v>120</v>
      </c>
    </row>
    <row r="94" spans="1:7" x14ac:dyDescent="0.25">
      <c r="A94" s="9">
        <v>92</v>
      </c>
      <c r="B94" s="12" t="s">
        <v>489</v>
      </c>
      <c r="C94" s="16" t="s">
        <v>615</v>
      </c>
      <c r="D94" s="9" t="s">
        <v>600</v>
      </c>
      <c r="E94" s="13">
        <v>0</v>
      </c>
      <c r="F94" s="13">
        <v>30</v>
      </c>
      <c r="G94" s="19">
        <f>[1]!Tabela2[[#This Row],[VOL.]]*[1]!Tabela2[[#This Row],[UNID.]]</f>
        <v>0</v>
      </c>
    </row>
    <row r="95" spans="1:7" x14ac:dyDescent="0.25">
      <c r="A95" s="9">
        <v>93</v>
      </c>
      <c r="B95" s="12" t="s">
        <v>490</v>
      </c>
      <c r="C95" s="16" t="s">
        <v>622</v>
      </c>
      <c r="D95" s="9" t="s">
        <v>600</v>
      </c>
      <c r="E95" s="13">
        <v>0</v>
      </c>
      <c r="F95" s="13">
        <v>25</v>
      </c>
      <c r="G95" s="19">
        <f>[1]!Tabela2[[#This Row],[VOL.]]*[1]!Tabela2[[#This Row],[UNID.]]</f>
        <v>0</v>
      </c>
    </row>
    <row r="96" spans="1:7" hidden="1" x14ac:dyDescent="0.25">
      <c r="A96" s="9">
        <v>94</v>
      </c>
      <c r="B96" s="12" t="s">
        <v>491</v>
      </c>
      <c r="C96" s="16" t="s">
        <v>358</v>
      </c>
      <c r="D96" s="9" t="s">
        <v>600</v>
      </c>
      <c r="E96" s="13">
        <v>2</v>
      </c>
      <c r="F96" s="13">
        <v>25</v>
      </c>
      <c r="G96" s="19">
        <f>[1]!Tabela2[[#This Row],[VOL.]]*[1]!Tabela2[[#This Row],[UNID.]]</f>
        <v>0</v>
      </c>
    </row>
    <row r="97" spans="1:7" x14ac:dyDescent="0.25">
      <c r="A97" s="9">
        <v>95</v>
      </c>
      <c r="B97" s="12" t="s">
        <v>492</v>
      </c>
      <c r="C97" s="16" t="s">
        <v>616</v>
      </c>
      <c r="D97" s="9" t="s">
        <v>600</v>
      </c>
      <c r="E97" s="13">
        <v>0</v>
      </c>
      <c r="F97" s="13">
        <v>25</v>
      </c>
      <c r="G97" s="19">
        <f>[1]!Tabela2[[#This Row],[VOL.]]*[1]!Tabela2[[#This Row],[UNID.]]</f>
        <v>0</v>
      </c>
    </row>
    <row r="98" spans="1:7" hidden="1" x14ac:dyDescent="0.25">
      <c r="A98" s="9">
        <v>96</v>
      </c>
      <c r="B98" s="12" t="s">
        <v>493</v>
      </c>
      <c r="C98" s="16" t="s">
        <v>359</v>
      </c>
      <c r="D98" s="9" t="s">
        <v>600</v>
      </c>
      <c r="E98" s="13">
        <v>3</v>
      </c>
      <c r="F98" s="13">
        <v>20</v>
      </c>
      <c r="G98" s="19">
        <v>20</v>
      </c>
    </row>
    <row r="99" spans="1:7" x14ac:dyDescent="0.25">
      <c r="A99" s="9">
        <v>97</v>
      </c>
      <c r="B99" s="12" t="s">
        <v>494</v>
      </c>
      <c r="C99" s="16" t="s">
        <v>618</v>
      </c>
      <c r="D99" s="9" t="s">
        <v>600</v>
      </c>
      <c r="E99" s="13">
        <v>0</v>
      </c>
      <c r="F99" s="13">
        <v>30</v>
      </c>
      <c r="G99" s="19">
        <f>[1]!Tabela2[[#This Row],[VOL.]]*[1]!Tabela2[[#This Row],[UNID.]]</f>
        <v>0</v>
      </c>
    </row>
    <row r="100" spans="1:7" hidden="1" x14ac:dyDescent="0.25">
      <c r="A100" s="9">
        <v>357</v>
      </c>
      <c r="B100" s="12" t="s">
        <v>495</v>
      </c>
      <c r="C100" s="16" t="s">
        <v>355</v>
      </c>
      <c r="D100" s="9" t="s">
        <v>600</v>
      </c>
      <c r="E100" s="13">
        <v>0</v>
      </c>
      <c r="F100" s="13">
        <v>36</v>
      </c>
      <c r="G100" s="19">
        <f>[1]!Tabela2[[#This Row],[VOL.]]*[1]!Tabela2[[#This Row],[UNID.]]</f>
        <v>60</v>
      </c>
    </row>
    <row r="101" spans="1:7" x14ac:dyDescent="0.25">
      <c r="A101" s="9">
        <v>358</v>
      </c>
      <c r="B101" s="12" t="s">
        <v>495</v>
      </c>
      <c r="C101" s="16" t="s">
        <v>611</v>
      </c>
      <c r="D101" s="9" t="s">
        <v>600</v>
      </c>
      <c r="E101" s="13">
        <v>0</v>
      </c>
      <c r="F101" s="13">
        <v>30</v>
      </c>
      <c r="G101" s="19">
        <f>[1]!Tabela2[[#This Row],[VOL.]]*[1]!Tabela2[[#This Row],[UNID.]]</f>
        <v>0</v>
      </c>
    </row>
    <row r="102" spans="1:7" x14ac:dyDescent="0.25">
      <c r="A102" s="9">
        <v>261</v>
      </c>
      <c r="B102" s="12" t="s">
        <v>495</v>
      </c>
      <c r="C102" s="16" t="s">
        <v>612</v>
      </c>
      <c r="D102" s="9" t="s">
        <v>600</v>
      </c>
      <c r="E102" s="13">
        <v>0</v>
      </c>
      <c r="F102" s="13">
        <v>30</v>
      </c>
      <c r="G102" s="19">
        <f>[1]!Tabela2[[#This Row],[VOL.]]*[1]!Tabela2[[#This Row],[UNID.]]</f>
        <v>0</v>
      </c>
    </row>
    <row r="103" spans="1:7" x14ac:dyDescent="0.25">
      <c r="A103" s="9">
        <v>262</v>
      </c>
      <c r="B103" s="12" t="s">
        <v>496</v>
      </c>
      <c r="C103" s="16" t="s">
        <v>613</v>
      </c>
      <c r="D103" s="9" t="s">
        <v>600</v>
      </c>
      <c r="E103" s="13">
        <v>0</v>
      </c>
      <c r="F103" s="13">
        <v>30</v>
      </c>
      <c r="G103" s="19">
        <f>[1]!Tabela2[[#This Row],[VOL.]]*[1]!Tabela2[[#This Row],[UNID.]]</f>
        <v>0</v>
      </c>
    </row>
    <row r="104" spans="1:7" hidden="1" x14ac:dyDescent="0.25">
      <c r="A104" s="9">
        <v>263</v>
      </c>
      <c r="B104" s="12" t="s">
        <v>497</v>
      </c>
      <c r="C104" s="16" t="s">
        <v>356</v>
      </c>
      <c r="D104" s="9" t="s">
        <v>600</v>
      </c>
      <c r="E104" s="13">
        <v>1</v>
      </c>
      <c r="F104" s="13">
        <v>30</v>
      </c>
      <c r="G104" s="19">
        <f>[1]!Tabela2[[#This Row],[VOL.]]*[1]!Tabela2[[#This Row],[UNID.]]</f>
        <v>0</v>
      </c>
    </row>
    <row r="105" spans="1:7" hidden="1" x14ac:dyDescent="0.25">
      <c r="A105" s="9">
        <v>264</v>
      </c>
      <c r="B105" s="12" t="s">
        <v>498</v>
      </c>
      <c r="C105" s="16" t="s">
        <v>614</v>
      </c>
      <c r="D105" s="9" t="s">
        <v>600</v>
      </c>
      <c r="E105" s="13">
        <v>0</v>
      </c>
      <c r="F105" s="13">
        <v>20</v>
      </c>
      <c r="G105" s="19">
        <f>[1]!Tabela2[[#This Row],[VOL.]]*[1]!Tabela2[[#This Row],[UNID.]]</f>
        <v>0</v>
      </c>
    </row>
    <row r="106" spans="1:7" x14ac:dyDescent="0.25">
      <c r="A106" s="9">
        <v>265</v>
      </c>
      <c r="B106" s="12" t="s">
        <v>499</v>
      </c>
      <c r="C106" s="16" t="s">
        <v>357</v>
      </c>
      <c r="D106" s="9" t="s">
        <v>600</v>
      </c>
      <c r="E106" s="13">
        <v>0</v>
      </c>
      <c r="F106" s="13">
        <v>30</v>
      </c>
      <c r="G106" s="19">
        <f>[1]!Tabela2[[#This Row],[VOL.]]*[1]!Tabela2[[#This Row],[UNID.]]</f>
        <v>30</v>
      </c>
    </row>
    <row r="107" spans="1:7" hidden="1" x14ac:dyDescent="0.25">
      <c r="A107" s="9">
        <v>266</v>
      </c>
      <c r="B107" s="12" t="s">
        <v>500</v>
      </c>
      <c r="C107" s="16" t="s">
        <v>615</v>
      </c>
      <c r="D107" s="9" t="s">
        <v>600</v>
      </c>
      <c r="E107" s="13">
        <v>0</v>
      </c>
      <c r="F107" s="13">
        <v>30</v>
      </c>
      <c r="G107" s="19">
        <f>[1]!Tabela2[[#This Row],[VOL.]]*[1]!Tabela2[[#This Row],[UNID.]]</f>
        <v>0</v>
      </c>
    </row>
    <row r="108" spans="1:7" x14ac:dyDescent="0.25">
      <c r="A108" s="9">
        <v>267</v>
      </c>
      <c r="B108" s="12" t="s">
        <v>501</v>
      </c>
      <c r="C108" s="16" t="s">
        <v>622</v>
      </c>
      <c r="D108" s="9" t="s">
        <v>600</v>
      </c>
      <c r="E108" s="13">
        <v>0</v>
      </c>
      <c r="F108" s="13">
        <v>25</v>
      </c>
      <c r="G108" s="19">
        <f>[1]!Tabela2[[#This Row],[VOL.]]*[1]!Tabela2[[#This Row],[UNID.]]</f>
        <v>0</v>
      </c>
    </row>
    <row r="109" spans="1:7" x14ac:dyDescent="0.25">
      <c r="A109" s="9">
        <v>268</v>
      </c>
      <c r="B109" s="12" t="s">
        <v>502</v>
      </c>
      <c r="C109" s="16" t="s">
        <v>358</v>
      </c>
      <c r="D109" s="9" t="s">
        <v>600</v>
      </c>
      <c r="E109" s="13">
        <v>0</v>
      </c>
      <c r="F109" s="13">
        <v>25</v>
      </c>
      <c r="G109" s="19">
        <f>[1]!Tabela2[[#This Row],[VOL.]]*[1]!Tabela2[[#This Row],[UNID.]]</f>
        <v>0</v>
      </c>
    </row>
    <row r="110" spans="1:7" x14ac:dyDescent="0.25">
      <c r="A110" s="9">
        <v>269</v>
      </c>
      <c r="B110" s="12" t="s">
        <v>503</v>
      </c>
      <c r="C110" s="16" t="s">
        <v>616</v>
      </c>
      <c r="D110" s="9" t="s">
        <v>600</v>
      </c>
      <c r="E110" s="13">
        <v>0</v>
      </c>
      <c r="F110" s="13"/>
      <c r="G110" s="19">
        <f>[1]!Tabela2[[#This Row],[VOL.]]*[1]!Tabela2[[#This Row],[UNID.]]</f>
        <v>0</v>
      </c>
    </row>
    <row r="111" spans="1:7" x14ac:dyDescent="0.25">
      <c r="A111" s="9">
        <v>270</v>
      </c>
      <c r="B111" s="12" t="s">
        <v>504</v>
      </c>
      <c r="C111" s="16" t="s">
        <v>623</v>
      </c>
      <c r="D111" s="9" t="s">
        <v>600</v>
      </c>
      <c r="E111" s="13">
        <v>0</v>
      </c>
      <c r="F111" s="13"/>
      <c r="G111" s="19">
        <f>[1]!Tabela2[[#This Row],[VOL.]]*[1]!Tabela2[[#This Row],[UNID.]]</f>
        <v>0</v>
      </c>
    </row>
    <row r="112" spans="1:7" x14ac:dyDescent="0.25">
      <c r="A112" s="9">
        <v>271</v>
      </c>
      <c r="B112" s="12" t="s">
        <v>505</v>
      </c>
      <c r="C112" s="16" t="s">
        <v>359</v>
      </c>
      <c r="D112" s="9" t="s">
        <v>600</v>
      </c>
      <c r="E112" s="13">
        <v>0</v>
      </c>
      <c r="F112" s="13"/>
      <c r="G112" s="19">
        <f>[1]!Tabela2[[#This Row],[VOL.]]*[1]!Tabela2[[#This Row],[UNID.]]</f>
        <v>0</v>
      </c>
    </row>
    <row r="113" spans="1:7" x14ac:dyDescent="0.25">
      <c r="A113" s="9">
        <v>272</v>
      </c>
      <c r="B113" s="12" t="s">
        <v>505</v>
      </c>
      <c r="C113" s="16" t="s">
        <v>618</v>
      </c>
      <c r="D113" s="9" t="s">
        <v>600</v>
      </c>
      <c r="E113" s="13">
        <v>0</v>
      </c>
      <c r="F113" s="13"/>
      <c r="G113" s="19">
        <f>[1]!Tabela2[[#This Row],[VOL.]]*[1]!Tabela2[[#This Row],[UNID.]]</f>
        <v>0</v>
      </c>
    </row>
    <row r="114" spans="1:7" hidden="1" x14ac:dyDescent="0.25">
      <c r="A114" s="9">
        <v>273</v>
      </c>
      <c r="B114" s="12" t="s">
        <v>506</v>
      </c>
      <c r="C114" s="16" t="s">
        <v>355</v>
      </c>
      <c r="D114" s="9" t="s">
        <v>600</v>
      </c>
      <c r="E114" s="13">
        <v>0</v>
      </c>
      <c r="F114" s="13">
        <v>36</v>
      </c>
      <c r="G114" s="19">
        <f>[1]!Tabela2[[#This Row],[VOL.]]*[1]!Tabela2[[#This Row],[UNID.]]</f>
        <v>0</v>
      </c>
    </row>
    <row r="115" spans="1:7" x14ac:dyDescent="0.25">
      <c r="A115" s="9">
        <v>274</v>
      </c>
      <c r="B115" s="12" t="s">
        <v>506</v>
      </c>
      <c r="C115" s="16" t="s">
        <v>611</v>
      </c>
      <c r="D115" s="9" t="s">
        <v>600</v>
      </c>
      <c r="E115" s="13">
        <v>0</v>
      </c>
      <c r="F115" s="13">
        <v>36</v>
      </c>
      <c r="G115" s="19">
        <f>[1]!Tabela2[[#This Row],[VOL.]]*[1]!Tabela2[[#This Row],[UNID.]]</f>
        <v>0</v>
      </c>
    </row>
    <row r="116" spans="1:7" x14ac:dyDescent="0.25">
      <c r="A116" s="9">
        <v>275</v>
      </c>
      <c r="B116" s="12" t="s">
        <v>506</v>
      </c>
      <c r="C116" s="16" t="s">
        <v>612</v>
      </c>
      <c r="D116" s="9" t="s">
        <v>600</v>
      </c>
      <c r="E116" s="13">
        <v>0</v>
      </c>
      <c r="F116" s="13">
        <v>30</v>
      </c>
      <c r="G116" s="19">
        <f>[1]!Tabela2[[#This Row],[VOL.]]*[1]!Tabela2[[#This Row],[UNID.]]</f>
        <v>0</v>
      </c>
    </row>
    <row r="117" spans="1:7" hidden="1" x14ac:dyDescent="0.25">
      <c r="A117" s="9">
        <v>276</v>
      </c>
      <c r="B117" s="12" t="s">
        <v>506</v>
      </c>
      <c r="C117" s="16" t="s">
        <v>613</v>
      </c>
      <c r="D117" s="9" t="s">
        <v>600</v>
      </c>
      <c r="E117" s="13">
        <v>0</v>
      </c>
      <c r="F117" s="13">
        <v>30</v>
      </c>
      <c r="G117" s="19">
        <f>[1]!Tabela2[[#This Row],[VOL.]]*[1]!Tabela2[[#This Row],[UNID.]]</f>
        <v>0</v>
      </c>
    </row>
    <row r="118" spans="1:7" hidden="1" x14ac:dyDescent="0.25">
      <c r="A118" s="9">
        <v>277</v>
      </c>
      <c r="B118" s="12" t="s">
        <v>507</v>
      </c>
      <c r="C118" s="16" t="s">
        <v>356</v>
      </c>
      <c r="D118" s="9" t="s">
        <v>600</v>
      </c>
      <c r="E118" s="13">
        <v>93</v>
      </c>
      <c r="F118" s="13">
        <v>30</v>
      </c>
      <c r="G118" s="19">
        <f>[1]!Tabela2[[#This Row],[VOL.]]*[1]!Tabela2[[#This Row],[UNID.]]</f>
        <v>0</v>
      </c>
    </row>
    <row r="119" spans="1:7" x14ac:dyDescent="0.25">
      <c r="A119" s="9">
        <v>278</v>
      </c>
      <c r="B119" s="12" t="s">
        <v>508</v>
      </c>
      <c r="C119" s="16" t="s">
        <v>614</v>
      </c>
      <c r="D119" s="9" t="s">
        <v>600</v>
      </c>
      <c r="E119" s="13">
        <v>0</v>
      </c>
      <c r="F119" s="13">
        <v>30</v>
      </c>
      <c r="G119" s="19">
        <f>[1]!Tabela2[[#This Row],[VOL.]]*[1]!Tabela2[[#This Row],[UNID.]]</f>
        <v>0</v>
      </c>
    </row>
    <row r="120" spans="1:7" hidden="1" x14ac:dyDescent="0.25">
      <c r="A120" s="9">
        <v>279</v>
      </c>
      <c r="B120" s="12" t="s">
        <v>509</v>
      </c>
      <c r="C120" s="16" t="s">
        <v>357</v>
      </c>
      <c r="D120" s="9" t="s">
        <v>600</v>
      </c>
      <c r="E120" s="13">
        <v>0</v>
      </c>
      <c r="F120" s="13">
        <v>30</v>
      </c>
      <c r="G120" s="19">
        <f>[1]!Tabela2[[#This Row],[VOL.]]*[1]!Tabela2[[#This Row],[UNID.]]</f>
        <v>2790</v>
      </c>
    </row>
    <row r="121" spans="1:7" hidden="1" x14ac:dyDescent="0.25">
      <c r="A121" s="9">
        <v>280</v>
      </c>
      <c r="B121" s="12" t="s">
        <v>510</v>
      </c>
      <c r="C121" s="16" t="s">
        <v>615</v>
      </c>
      <c r="D121" s="9" t="s">
        <v>600</v>
      </c>
      <c r="E121" s="13">
        <v>0</v>
      </c>
      <c r="F121" s="13">
        <v>30</v>
      </c>
      <c r="G121" s="19">
        <f>[1]!Tabela2[[#This Row],[VOL.]]*[1]!Tabela2[[#This Row],[UNID.]]</f>
        <v>0</v>
      </c>
    </row>
    <row r="122" spans="1:7" x14ac:dyDescent="0.25">
      <c r="A122" s="9">
        <v>281</v>
      </c>
      <c r="B122" s="12" t="s">
        <v>511</v>
      </c>
      <c r="C122" s="16" t="s">
        <v>622</v>
      </c>
      <c r="D122" s="9" t="s">
        <v>600</v>
      </c>
      <c r="E122" s="13">
        <v>0</v>
      </c>
      <c r="F122" s="13">
        <v>25</v>
      </c>
      <c r="G122" s="19">
        <f>[1]!Tabela2[[#This Row],[VOL.]]*[1]!Tabela2[[#This Row],[UNID.]]</f>
        <v>0</v>
      </c>
    </row>
    <row r="123" spans="1:7" x14ac:dyDescent="0.25">
      <c r="A123" s="9">
        <v>282</v>
      </c>
      <c r="B123" s="12" t="s">
        <v>512</v>
      </c>
      <c r="C123" s="16" t="s">
        <v>358</v>
      </c>
      <c r="D123" s="9" t="s">
        <v>600</v>
      </c>
      <c r="E123" s="13">
        <v>0</v>
      </c>
      <c r="F123" s="13"/>
      <c r="G123" s="19">
        <f>[1]!Tabela2[[#This Row],[VOL.]]*[1]!Tabela2[[#This Row],[UNID.]]</f>
        <v>0</v>
      </c>
    </row>
    <row r="124" spans="1:7" x14ac:dyDescent="0.25">
      <c r="A124" s="9">
        <v>283</v>
      </c>
      <c r="B124" s="12" t="s">
        <v>513</v>
      </c>
      <c r="C124" s="16" t="s">
        <v>616</v>
      </c>
      <c r="D124" s="9" t="s">
        <v>600</v>
      </c>
      <c r="E124" s="13">
        <v>0</v>
      </c>
      <c r="F124" s="13"/>
      <c r="G124" s="19">
        <f>[1]!Tabela2[[#This Row],[VOL.]]*[1]!Tabela2[[#This Row],[UNID.]]</f>
        <v>0</v>
      </c>
    </row>
    <row r="125" spans="1:7" hidden="1" x14ac:dyDescent="0.25">
      <c r="A125" s="9">
        <v>284</v>
      </c>
      <c r="B125" s="12" t="s">
        <v>514</v>
      </c>
      <c r="C125" s="16" t="s">
        <v>359</v>
      </c>
      <c r="D125" s="9" t="s">
        <v>600</v>
      </c>
      <c r="E125" s="13">
        <v>0</v>
      </c>
      <c r="F125" s="13">
        <v>25</v>
      </c>
      <c r="G125" s="19">
        <f>[1]!Tabela2[[#This Row],[VOL.]]*[1]!Tabela2[[#This Row],[UNID.]]</f>
        <v>0</v>
      </c>
    </row>
    <row r="126" spans="1:7" x14ac:dyDescent="0.25">
      <c r="A126" s="9">
        <v>285</v>
      </c>
      <c r="B126" s="12" t="s">
        <v>515</v>
      </c>
      <c r="C126" s="16" t="s">
        <v>618</v>
      </c>
      <c r="D126" s="9" t="s">
        <v>600</v>
      </c>
      <c r="E126" s="13">
        <v>0</v>
      </c>
      <c r="F126" s="13"/>
      <c r="G126" s="19">
        <f>[1]!Tabela2[[#This Row],[VOL.]]*[1]!Tabela2[[#This Row],[UNID.]]</f>
        <v>0</v>
      </c>
    </row>
    <row r="127" spans="1:7" hidden="1" x14ac:dyDescent="0.25">
      <c r="A127" s="9">
        <v>286</v>
      </c>
      <c r="B127" s="12" t="s">
        <v>516</v>
      </c>
      <c r="C127" s="16" t="s">
        <v>360</v>
      </c>
      <c r="D127" s="9" t="s">
        <v>600</v>
      </c>
      <c r="E127" s="13">
        <v>0</v>
      </c>
      <c r="F127" s="13">
        <v>20</v>
      </c>
      <c r="G127" s="19">
        <f>[1]!Tabela2[[#This Row],[VOL.]]*[1]!Tabela2[[#This Row],[UNID.]]</f>
        <v>0</v>
      </c>
    </row>
    <row r="128" spans="1:7" x14ac:dyDescent="0.25">
      <c r="A128" s="9">
        <v>287</v>
      </c>
      <c r="B128" s="12" t="s">
        <v>517</v>
      </c>
      <c r="C128" s="16" t="s">
        <v>624</v>
      </c>
      <c r="D128" s="9" t="s">
        <v>600</v>
      </c>
      <c r="E128" s="13">
        <v>0</v>
      </c>
      <c r="F128" s="13"/>
      <c r="G128" s="19">
        <f>[1]!Tabela2[[#This Row],[VOL.]]*[1]!Tabela2[[#This Row],[UNID.]]</f>
        <v>0</v>
      </c>
    </row>
    <row r="129" spans="1:7" x14ac:dyDescent="0.25">
      <c r="A129" s="9">
        <v>288</v>
      </c>
      <c r="B129" s="12" t="s">
        <v>518</v>
      </c>
      <c r="C129" s="16" t="s">
        <v>625</v>
      </c>
      <c r="D129" s="9" t="s">
        <v>600</v>
      </c>
      <c r="E129" s="13">
        <v>0</v>
      </c>
      <c r="F129" s="13"/>
      <c r="G129" s="19">
        <f>[1]!Tabela2[[#This Row],[VOL.]]*[1]!Tabela2[[#This Row],[UNID.]]</f>
        <v>0</v>
      </c>
    </row>
    <row r="130" spans="1:7" x14ac:dyDescent="0.25">
      <c r="A130" s="9">
        <v>289</v>
      </c>
      <c r="B130" s="12" t="s">
        <v>519</v>
      </c>
      <c r="C130" s="16" t="s">
        <v>404</v>
      </c>
      <c r="D130" s="9" t="s">
        <v>600</v>
      </c>
      <c r="E130" s="13">
        <v>0</v>
      </c>
      <c r="F130" s="13"/>
      <c r="G130" s="19">
        <f>[1]!Tabela2[[#This Row],[VOL.]]*[1]!Tabela2[[#This Row],[UNID.]]</f>
        <v>0</v>
      </c>
    </row>
    <row r="131" spans="1:7" hidden="1" x14ac:dyDescent="0.25">
      <c r="A131" s="9">
        <v>129</v>
      </c>
      <c r="B131" s="12" t="s">
        <v>520</v>
      </c>
      <c r="C131" s="16" t="s">
        <v>360</v>
      </c>
      <c r="D131" s="9" t="s">
        <v>626</v>
      </c>
      <c r="E131" s="13">
        <v>0</v>
      </c>
      <c r="F131" s="13">
        <v>20</v>
      </c>
      <c r="G131" s="19">
        <f>[1]!Tabela2[[#This Row],[VOL.]]*[1]!Tabela2[[#This Row],[UNID.]]</f>
        <v>0</v>
      </c>
    </row>
    <row r="132" spans="1:7" x14ac:dyDescent="0.25">
      <c r="A132" s="9">
        <v>130</v>
      </c>
      <c r="B132" s="12" t="s">
        <v>520</v>
      </c>
      <c r="C132" s="16" t="s">
        <v>624</v>
      </c>
      <c r="D132" s="9" t="s">
        <v>626</v>
      </c>
      <c r="E132" s="13">
        <v>0</v>
      </c>
      <c r="F132" s="13"/>
      <c r="G132" s="19">
        <f>[1]!Tabela2[[#This Row],[VOL.]]*[1]!Tabela2[[#This Row],[UNID.]]</f>
        <v>0</v>
      </c>
    </row>
    <row r="133" spans="1:7" x14ac:dyDescent="0.25">
      <c r="A133" s="9">
        <v>131</v>
      </c>
      <c r="B133" s="12" t="s">
        <v>520</v>
      </c>
      <c r="C133" s="16" t="s">
        <v>625</v>
      </c>
      <c r="D133" s="9" t="s">
        <v>626</v>
      </c>
      <c r="E133" s="13">
        <v>0</v>
      </c>
      <c r="F133" s="13"/>
      <c r="G133" s="19">
        <f>[1]!Tabela2[[#This Row],[VOL.]]*[1]!Tabela2[[#This Row],[UNID.]]</f>
        <v>0</v>
      </c>
    </row>
    <row r="134" spans="1:7" hidden="1" x14ac:dyDescent="0.25">
      <c r="A134" s="9">
        <v>132</v>
      </c>
      <c r="B134" s="12" t="s">
        <v>520</v>
      </c>
      <c r="C134" s="16" t="s">
        <v>404</v>
      </c>
      <c r="D134" s="9" t="s">
        <v>626</v>
      </c>
      <c r="E134" s="13">
        <v>13</v>
      </c>
      <c r="F134" s="13">
        <v>20</v>
      </c>
      <c r="G134" s="19">
        <f>[1]!Tabela2[[#This Row],[VOL.]]*[1]!Tabela2[[#This Row],[UNID.]]</f>
        <v>0</v>
      </c>
    </row>
    <row r="135" spans="1:7" x14ac:dyDescent="0.25">
      <c r="A135" s="9">
        <v>133</v>
      </c>
      <c r="B135" s="12" t="s">
        <v>520</v>
      </c>
      <c r="C135" s="16" t="s">
        <v>405</v>
      </c>
      <c r="D135" s="9" t="s">
        <v>626</v>
      </c>
      <c r="E135" s="13">
        <v>0</v>
      </c>
      <c r="F135" s="13">
        <v>20</v>
      </c>
      <c r="G135" s="19">
        <f>[1]!Tabela2[[#This Row],[VOL.]]*[1]!Tabela2[[#This Row],[UNID.]]</f>
        <v>0</v>
      </c>
    </row>
    <row r="136" spans="1:7" x14ac:dyDescent="0.25">
      <c r="A136" s="9">
        <v>134</v>
      </c>
      <c r="B136" s="12" t="s">
        <v>520</v>
      </c>
      <c r="C136" s="16" t="s">
        <v>627</v>
      </c>
      <c r="D136" s="9" t="s">
        <v>626</v>
      </c>
      <c r="E136" s="13">
        <v>0</v>
      </c>
      <c r="F136" s="13">
        <v>20</v>
      </c>
      <c r="G136" s="19">
        <f>[1]!Tabela2[[#This Row],[VOL.]]*[1]!Tabela2[[#This Row],[UNID.]]</f>
        <v>260</v>
      </c>
    </row>
    <row r="137" spans="1:7" x14ac:dyDescent="0.25">
      <c r="A137" s="9">
        <v>135</v>
      </c>
      <c r="B137" s="12" t="s">
        <v>520</v>
      </c>
      <c r="C137" s="16" t="s">
        <v>628</v>
      </c>
      <c r="D137" s="9" t="s">
        <v>626</v>
      </c>
      <c r="E137" s="13">
        <v>0</v>
      </c>
      <c r="F137" s="13">
        <v>20</v>
      </c>
      <c r="G137" s="19">
        <f>[1]!Tabela2[[#This Row],[VOL.]]*[1]!Tabela2[[#This Row],[UNID.]]</f>
        <v>0</v>
      </c>
    </row>
    <row r="138" spans="1:7" x14ac:dyDescent="0.25">
      <c r="A138" s="9">
        <v>136</v>
      </c>
      <c r="B138" s="12" t="s">
        <v>520</v>
      </c>
      <c r="C138" s="16" t="s">
        <v>406</v>
      </c>
      <c r="D138" s="9" t="s">
        <v>626</v>
      </c>
      <c r="E138" s="13">
        <v>0</v>
      </c>
      <c r="F138" s="13"/>
      <c r="G138" s="19">
        <f>[1]!Tabela2[[#This Row],[VOL.]]*[1]!Tabela2[[#This Row],[UNID.]]</f>
        <v>0</v>
      </c>
    </row>
    <row r="139" spans="1:7" x14ac:dyDescent="0.25">
      <c r="A139" s="9">
        <v>1775</v>
      </c>
      <c r="B139" s="12" t="s">
        <v>520</v>
      </c>
      <c r="C139" s="16" t="s">
        <v>628</v>
      </c>
      <c r="D139" s="9" t="s">
        <v>617</v>
      </c>
      <c r="E139" s="13"/>
      <c r="F139" s="13">
        <v>20</v>
      </c>
      <c r="G139" s="19">
        <f>[1]!Tabela2[[#This Row],[VOL.]]*[1]!Tabela2[[#This Row],[UNID.]]</f>
        <v>0</v>
      </c>
    </row>
    <row r="140" spans="1:7" x14ac:dyDescent="0.25">
      <c r="A140" s="9">
        <v>1776</v>
      </c>
      <c r="B140" s="12" t="s">
        <v>520</v>
      </c>
      <c r="C140" s="16" t="s">
        <v>406</v>
      </c>
      <c r="D140" s="9" t="s">
        <v>617</v>
      </c>
      <c r="E140" s="13"/>
      <c r="F140" s="13"/>
      <c r="G140" s="19">
        <f>[1]!Tabela2[[#This Row],[VOL.]]*[1]!Tabela2[[#This Row],[UNID.]]</f>
        <v>0</v>
      </c>
    </row>
    <row r="141" spans="1:7" x14ac:dyDescent="0.25">
      <c r="A141" s="9">
        <v>1777</v>
      </c>
      <c r="B141" s="12" t="s">
        <v>520</v>
      </c>
      <c r="C141" s="16" t="s">
        <v>629</v>
      </c>
      <c r="D141" s="9" t="s">
        <v>617</v>
      </c>
      <c r="E141" s="13"/>
      <c r="F141" s="13"/>
      <c r="G141" s="19">
        <f>[1]!Tabela2[[#This Row],[VOL.]]*[1]!Tabela2[[#This Row],[UNID.]]</f>
        <v>0</v>
      </c>
    </row>
    <row r="142" spans="1:7" x14ac:dyDescent="0.25">
      <c r="A142" s="9">
        <v>1822</v>
      </c>
      <c r="B142" s="12" t="s">
        <v>521</v>
      </c>
      <c r="C142" s="16" t="s">
        <v>405</v>
      </c>
      <c r="D142" s="9" t="s">
        <v>617</v>
      </c>
      <c r="E142" s="13">
        <v>1</v>
      </c>
      <c r="F142" s="13">
        <v>20</v>
      </c>
      <c r="G142" s="19">
        <f>[1]!Tabela2[[#This Row],[VOL.]]*[1]!Tabela2[[#This Row],[UNID.]]</f>
        <v>0</v>
      </c>
    </row>
    <row r="143" spans="1:7" x14ac:dyDescent="0.25">
      <c r="A143" s="9">
        <v>1778</v>
      </c>
      <c r="B143" s="12" t="s">
        <v>521</v>
      </c>
      <c r="C143" s="16" t="s">
        <v>628</v>
      </c>
      <c r="D143" s="9" t="s">
        <v>617</v>
      </c>
      <c r="E143" s="13">
        <v>0</v>
      </c>
      <c r="F143" s="13">
        <v>20</v>
      </c>
      <c r="G143" s="19">
        <f>[1]!Tabela2[[#This Row],[VOL.]]*[1]!Tabela2[[#This Row],[UNID.]]</f>
        <v>0</v>
      </c>
    </row>
    <row r="144" spans="1:7" hidden="1" x14ac:dyDescent="0.25">
      <c r="A144" s="9">
        <v>1779</v>
      </c>
      <c r="B144" s="12" t="s">
        <v>521</v>
      </c>
      <c r="C144" s="16" t="s">
        <v>406</v>
      </c>
      <c r="D144" s="9" t="s">
        <v>617</v>
      </c>
      <c r="E144" s="13"/>
      <c r="F144" s="13">
        <v>20</v>
      </c>
      <c r="G144" s="19">
        <f>[1]!Tabela2[[#This Row],[VOL.]]*[1]!Tabela2[[#This Row],[UNID.]]</f>
        <v>0</v>
      </c>
    </row>
    <row r="145" spans="1:7" x14ac:dyDescent="0.25">
      <c r="A145" s="9">
        <v>1780</v>
      </c>
      <c r="B145" s="12" t="s">
        <v>521</v>
      </c>
      <c r="C145" s="16" t="s">
        <v>629</v>
      </c>
      <c r="D145" s="9" t="s">
        <v>617</v>
      </c>
      <c r="E145" s="13"/>
      <c r="F145" s="13"/>
      <c r="G145" s="19">
        <f>[1]!Tabela2[[#This Row],[VOL.]]*[1]!Tabela2[[#This Row],[UNID.]]</f>
        <v>0</v>
      </c>
    </row>
    <row r="146" spans="1:7" hidden="1" x14ac:dyDescent="0.25">
      <c r="A146" s="10">
        <v>152</v>
      </c>
      <c r="B146" s="12" t="s">
        <v>522</v>
      </c>
      <c r="C146" s="16"/>
      <c r="D146" s="9" t="s">
        <v>610</v>
      </c>
      <c r="E146" s="13">
        <v>0</v>
      </c>
      <c r="F146" s="13">
        <v>1000</v>
      </c>
      <c r="G146" s="19">
        <f>[1]!Tabela2[[#This Row],[VOL.]]*[1]!Tabela2[[#This Row],[UNID.]]</f>
        <v>0</v>
      </c>
    </row>
    <row r="147" spans="1:7" hidden="1" x14ac:dyDescent="0.25">
      <c r="A147" s="9">
        <v>153</v>
      </c>
      <c r="B147" s="13" t="s">
        <v>523</v>
      </c>
      <c r="C147" s="16"/>
      <c r="D147" s="9" t="s">
        <v>610</v>
      </c>
      <c r="E147" s="13">
        <v>5</v>
      </c>
      <c r="F147" s="13">
        <v>1000</v>
      </c>
      <c r="G147" s="19">
        <f>[1]!Tabela2[[#This Row],[VOL.]]*[1]!Tabela2[[#This Row],[UNID.]]</f>
        <v>0</v>
      </c>
    </row>
    <row r="148" spans="1:7" hidden="1" x14ac:dyDescent="0.25">
      <c r="A148" s="9">
        <v>154</v>
      </c>
      <c r="B148" s="12" t="s">
        <v>524</v>
      </c>
      <c r="C148" s="16"/>
      <c r="D148" s="9" t="s">
        <v>610</v>
      </c>
      <c r="E148" s="13">
        <v>10</v>
      </c>
      <c r="F148" s="13">
        <v>1000</v>
      </c>
      <c r="G148" s="19">
        <f>[1]!Tabela2[[#This Row],[VOL.]]*[1]!Tabela2[[#This Row],[UNID.]]</f>
        <v>0</v>
      </c>
    </row>
    <row r="149" spans="1:7" hidden="1" x14ac:dyDescent="0.25">
      <c r="A149" s="9">
        <v>155</v>
      </c>
      <c r="B149" s="13" t="s">
        <v>525</v>
      </c>
      <c r="C149" s="16"/>
      <c r="D149" s="9" t="s">
        <v>610</v>
      </c>
      <c r="E149" s="13">
        <v>0</v>
      </c>
      <c r="F149" s="13">
        <v>12</v>
      </c>
      <c r="G149" s="19">
        <f>[1]!Tabela2[[#This Row],[VOL.]]*[1]!Tabela2[[#This Row],[UNID.]]</f>
        <v>5000</v>
      </c>
    </row>
    <row r="150" spans="1:7" hidden="1" x14ac:dyDescent="0.25">
      <c r="A150" s="9">
        <v>1586</v>
      </c>
      <c r="B150" s="13" t="s">
        <v>526</v>
      </c>
      <c r="C150" s="16"/>
      <c r="D150" s="9" t="s">
        <v>630</v>
      </c>
      <c r="E150" s="13">
        <v>1</v>
      </c>
      <c r="F150" s="13">
        <v>12</v>
      </c>
      <c r="G150" s="19">
        <f>[1]!Tabela2[[#This Row],[VOL.]]*[1]!Tabela2[[#This Row],[UNID.]]</f>
        <v>10000</v>
      </c>
    </row>
    <row r="151" spans="1:7" hidden="1" x14ac:dyDescent="0.25">
      <c r="A151" s="9">
        <v>1587</v>
      </c>
      <c r="B151" s="13" t="s">
        <v>527</v>
      </c>
      <c r="C151" s="16"/>
      <c r="D151" s="9" t="s">
        <v>630</v>
      </c>
      <c r="E151" s="13">
        <v>0</v>
      </c>
      <c r="F151" s="13">
        <v>300</v>
      </c>
      <c r="G151" s="19">
        <f>[1]!Tabela2[[#This Row],[VOL.]]*[1]!Tabela2[[#This Row],[UNID.]]</f>
        <v>0</v>
      </c>
    </row>
    <row r="152" spans="1:7" hidden="1" x14ac:dyDescent="0.25">
      <c r="A152" s="9">
        <v>1797</v>
      </c>
      <c r="B152" s="13" t="s">
        <v>528</v>
      </c>
      <c r="C152" s="16"/>
      <c r="D152" s="9" t="s">
        <v>630</v>
      </c>
      <c r="E152" s="13">
        <v>0</v>
      </c>
      <c r="F152" s="13">
        <v>12</v>
      </c>
      <c r="G152" s="19">
        <f>[1]!Tabela2[[#This Row],[VOL.]]*[1]!Tabela2[[#This Row],[UNID.]]</f>
        <v>12</v>
      </c>
    </row>
    <row r="153" spans="1:7" hidden="1" x14ac:dyDescent="0.25">
      <c r="A153" s="9">
        <v>157</v>
      </c>
      <c r="B153" s="13" t="s">
        <v>529</v>
      </c>
      <c r="C153" s="16"/>
      <c r="D153" s="9" t="s">
        <v>610</v>
      </c>
      <c r="E153" s="13">
        <v>0</v>
      </c>
      <c r="F153" s="13">
        <v>300</v>
      </c>
      <c r="G153" s="19">
        <f>[1]!Tabela2[[#This Row],[VOL.]]*[1]!Tabela2[[#This Row],[UNID.]]</f>
        <v>0</v>
      </c>
    </row>
    <row r="154" spans="1:7" hidden="1" x14ac:dyDescent="0.25">
      <c r="A154" s="9">
        <v>158</v>
      </c>
      <c r="B154" s="13" t="s">
        <v>530</v>
      </c>
      <c r="C154" s="16"/>
      <c r="D154" s="9" t="s">
        <v>610</v>
      </c>
      <c r="E154" s="13">
        <v>0</v>
      </c>
      <c r="F154" s="13">
        <v>150</v>
      </c>
      <c r="G154" s="19">
        <f>[1]!Tabela2[[#This Row],[VOL.]]*[1]!Tabela2[[#This Row],[UNID.]]</f>
        <v>0</v>
      </c>
    </row>
    <row r="155" spans="1:7" hidden="1" x14ac:dyDescent="0.25">
      <c r="A155" s="9">
        <v>1656</v>
      </c>
      <c r="B155" s="12" t="s">
        <v>531</v>
      </c>
      <c r="C155" s="16"/>
      <c r="D155" s="9" t="s">
        <v>617</v>
      </c>
      <c r="E155" s="13">
        <v>2</v>
      </c>
      <c r="F155" s="13">
        <v>110</v>
      </c>
      <c r="G155" s="19">
        <f>[1]!Tabela2[[#This Row],[VOL.]]*[1]!Tabela2[[#This Row],[UNID.]]</f>
        <v>0</v>
      </c>
    </row>
    <row r="156" spans="1:7" hidden="1" x14ac:dyDescent="0.25">
      <c r="A156" s="9">
        <v>159</v>
      </c>
      <c r="B156" s="12" t="s">
        <v>532</v>
      </c>
      <c r="C156" s="16"/>
      <c r="D156" s="9"/>
      <c r="E156" s="13">
        <v>0</v>
      </c>
      <c r="F156" s="13">
        <v>110</v>
      </c>
      <c r="G156" s="19">
        <f>[1]!Tabela2[[#This Row],[VOL.]]*[1]!Tabela2[[#This Row],[UNID.]]</f>
        <v>0</v>
      </c>
    </row>
    <row r="157" spans="1:7" hidden="1" x14ac:dyDescent="0.25">
      <c r="A157" s="9">
        <v>160</v>
      </c>
      <c r="B157" s="12" t="s">
        <v>533</v>
      </c>
      <c r="C157" s="16"/>
      <c r="D157" s="9"/>
      <c r="E157" s="13">
        <v>0</v>
      </c>
      <c r="F157" s="13">
        <v>80</v>
      </c>
      <c r="G157" s="19">
        <f>[1]!Tabela2[[#This Row],[VOL.]]*[1]!Tabela2[[#This Row],[UNID.]]</f>
        <v>220</v>
      </c>
    </row>
    <row r="158" spans="1:7" hidden="1" x14ac:dyDescent="0.25">
      <c r="A158" s="9">
        <v>161</v>
      </c>
      <c r="B158" s="12" t="s">
        <v>534</v>
      </c>
      <c r="C158" s="16"/>
      <c r="D158" s="9"/>
      <c r="E158" s="13">
        <v>2</v>
      </c>
      <c r="F158" s="13">
        <v>70</v>
      </c>
      <c r="G158" s="19">
        <f>[1]!Tabela2[[#This Row],[VOL.]]*[1]!Tabela2[[#This Row],[UNID.]]</f>
        <v>0</v>
      </c>
    </row>
    <row r="159" spans="1:7" hidden="1" x14ac:dyDescent="0.25">
      <c r="A159" s="9">
        <v>162</v>
      </c>
      <c r="B159" s="12" t="s">
        <v>535</v>
      </c>
      <c r="C159" s="16"/>
      <c r="D159" s="9"/>
      <c r="E159" s="13">
        <v>0</v>
      </c>
      <c r="F159" s="13">
        <v>45</v>
      </c>
      <c r="G159" s="19">
        <f>[1]!Tabela2[[#This Row],[VOL.]]*[1]!Tabela2[[#This Row],[UNID.]]</f>
        <v>0</v>
      </c>
    </row>
    <row r="160" spans="1:7" hidden="1" x14ac:dyDescent="0.25">
      <c r="A160" s="9">
        <v>163</v>
      </c>
      <c r="B160" s="12" t="s">
        <v>536</v>
      </c>
      <c r="C160" s="16"/>
      <c r="D160" s="9"/>
      <c r="E160" s="13">
        <v>0</v>
      </c>
      <c r="F160" s="13">
        <v>110</v>
      </c>
      <c r="G160" s="19">
        <f>[1]!Tabela2[[#This Row],[VOL.]]*[1]!Tabela2[[#This Row],[UNID.]]</f>
        <v>140</v>
      </c>
    </row>
    <row r="161" spans="1:7" hidden="1" x14ac:dyDescent="0.25">
      <c r="A161" s="9">
        <v>164</v>
      </c>
      <c r="B161" s="12" t="s">
        <v>537</v>
      </c>
      <c r="C161" s="16"/>
      <c r="D161" s="9"/>
      <c r="E161" s="13">
        <v>0</v>
      </c>
      <c r="F161" s="13">
        <v>90</v>
      </c>
      <c r="G161" s="19">
        <f>[1]!Tabela2[[#This Row],[VOL.]]*[1]!Tabela2[[#This Row],[UNID.]]</f>
        <v>0</v>
      </c>
    </row>
    <row r="162" spans="1:7" hidden="1" x14ac:dyDescent="0.25">
      <c r="A162" s="9">
        <v>165</v>
      </c>
      <c r="B162" s="12" t="s">
        <v>538</v>
      </c>
      <c r="C162" s="16"/>
      <c r="D162" s="9"/>
      <c r="E162" s="13">
        <v>0</v>
      </c>
      <c r="F162" s="13">
        <v>70</v>
      </c>
      <c r="G162" s="19">
        <f>[1]!Tabela2[[#This Row],[VOL.]]*[1]!Tabela2[[#This Row],[UNID.]]</f>
        <v>0</v>
      </c>
    </row>
    <row r="163" spans="1:7" hidden="1" x14ac:dyDescent="0.25">
      <c r="A163" s="9">
        <v>166</v>
      </c>
      <c r="B163" s="12" t="s">
        <v>539</v>
      </c>
      <c r="C163" s="16"/>
      <c r="D163" s="9"/>
      <c r="E163" s="13">
        <v>0</v>
      </c>
      <c r="F163" s="13">
        <v>50</v>
      </c>
      <c r="G163" s="19">
        <f>[1]!Tabela2[[#This Row],[VOL.]]*[1]!Tabela2[[#This Row],[UNID.]]</f>
        <v>0</v>
      </c>
    </row>
    <row r="164" spans="1:7" hidden="1" x14ac:dyDescent="0.25">
      <c r="A164" s="9">
        <v>167</v>
      </c>
      <c r="B164" s="12" t="s">
        <v>540</v>
      </c>
      <c r="C164" s="16"/>
      <c r="D164" s="9"/>
      <c r="E164" s="13">
        <v>0</v>
      </c>
      <c r="F164" s="13">
        <v>90</v>
      </c>
      <c r="G164" s="19">
        <f>[1]!Tabela2[[#This Row],[VOL.]]*[1]!Tabela2[[#This Row],[UNID.]]</f>
        <v>0</v>
      </c>
    </row>
    <row r="165" spans="1:7" hidden="1" x14ac:dyDescent="0.25">
      <c r="A165" s="9">
        <v>168</v>
      </c>
      <c r="B165" s="12" t="s">
        <v>541</v>
      </c>
      <c r="C165" s="16"/>
      <c r="D165" s="9"/>
      <c r="E165" s="13">
        <v>0</v>
      </c>
      <c r="F165" s="13">
        <v>70</v>
      </c>
      <c r="G165" s="19">
        <f>[1]!Tabela2[[#This Row],[VOL.]]*[1]!Tabela2[[#This Row],[UNID.]]</f>
        <v>0</v>
      </c>
    </row>
    <row r="166" spans="1:7" hidden="1" x14ac:dyDescent="0.25">
      <c r="A166" s="9">
        <v>169</v>
      </c>
      <c r="B166" s="12" t="s">
        <v>542</v>
      </c>
      <c r="C166" s="16"/>
      <c r="D166" s="18" t="s">
        <v>322</v>
      </c>
      <c r="E166" s="13">
        <v>0</v>
      </c>
      <c r="F166" s="13">
        <v>60</v>
      </c>
      <c r="G166" s="19">
        <f>[1]!Tabela2[[#This Row],[VOL.]]*[1]!Tabela2[[#This Row],[UNID.]]</f>
        <v>0</v>
      </c>
    </row>
    <row r="167" spans="1:7" hidden="1" x14ac:dyDescent="0.25">
      <c r="A167" s="9">
        <v>170</v>
      </c>
      <c r="B167" s="12" t="s">
        <v>543</v>
      </c>
      <c r="C167" s="16"/>
      <c r="D167" s="9"/>
      <c r="E167" s="13">
        <v>1</v>
      </c>
      <c r="F167" s="13">
        <v>35</v>
      </c>
      <c r="G167" s="19">
        <f>[1]!Tabela2[[#This Row],[VOL.]]*[1]!Tabela2[[#This Row],[UNID.]]</f>
        <v>0</v>
      </c>
    </row>
    <row r="168" spans="1:7" hidden="1" x14ac:dyDescent="0.25">
      <c r="A168" s="9">
        <v>171</v>
      </c>
      <c r="B168" s="12" t="s">
        <v>544</v>
      </c>
      <c r="C168" s="16"/>
      <c r="D168" s="9"/>
      <c r="E168" s="13">
        <v>0</v>
      </c>
      <c r="F168" s="13">
        <v>100</v>
      </c>
      <c r="G168" s="19">
        <f>[1]!Tabela2[[#This Row],[VOL.]]*[1]!Tabela2[[#This Row],[UNID.]]</f>
        <v>0</v>
      </c>
    </row>
    <row r="169" spans="1:7" hidden="1" x14ac:dyDescent="0.25">
      <c r="A169" s="9">
        <v>172</v>
      </c>
      <c r="B169" s="12" t="s">
        <v>545</v>
      </c>
      <c r="C169" s="16"/>
      <c r="D169" s="9"/>
      <c r="E169" s="13">
        <v>0</v>
      </c>
      <c r="F169" s="13">
        <v>75</v>
      </c>
      <c r="G169" s="19">
        <f>[1]!Tabela2[[#This Row],[VOL.]]*[1]!Tabela2[[#This Row],[UNID.]]</f>
        <v>35</v>
      </c>
    </row>
    <row r="170" spans="1:7" hidden="1" x14ac:dyDescent="0.25">
      <c r="A170" s="9">
        <v>173</v>
      </c>
      <c r="B170" s="12" t="s">
        <v>546</v>
      </c>
      <c r="C170" s="16"/>
      <c r="D170" s="9"/>
      <c r="E170" s="13">
        <v>1</v>
      </c>
      <c r="F170" s="13">
        <v>60</v>
      </c>
      <c r="G170" s="19">
        <f>[1]!Tabela2[[#This Row],[VOL.]]*[1]!Tabela2[[#This Row],[UNID.]]</f>
        <v>0</v>
      </c>
    </row>
    <row r="171" spans="1:7" hidden="1" x14ac:dyDescent="0.25">
      <c r="A171" s="9">
        <v>174</v>
      </c>
      <c r="B171" s="12" t="s">
        <v>547</v>
      </c>
      <c r="C171" s="16"/>
      <c r="D171" s="9" t="s">
        <v>646</v>
      </c>
      <c r="E171" s="13">
        <v>1</v>
      </c>
      <c r="F171" s="13">
        <v>40</v>
      </c>
      <c r="G171" s="19">
        <f>[1]!Tabela2[[#This Row],[VOL.]]*[1]!Tabela2[[#This Row],[UNID.]]</f>
        <v>0</v>
      </c>
    </row>
    <row r="172" spans="1:7" hidden="1" x14ac:dyDescent="0.25">
      <c r="A172" s="9">
        <v>359</v>
      </c>
      <c r="B172" s="12" t="s">
        <v>506</v>
      </c>
      <c r="C172" s="16" t="s">
        <v>609</v>
      </c>
      <c r="D172" s="9" t="s">
        <v>600</v>
      </c>
      <c r="E172" s="13">
        <v>0</v>
      </c>
      <c r="F172" s="13">
        <v>36</v>
      </c>
      <c r="G172" s="19">
        <f>[1]!Tabela2[[#This Row],[VOL.]]*[1]!Tabela2[[#This Row],[UNID.]]</f>
        <v>60</v>
      </c>
    </row>
    <row r="173" spans="1:7" x14ac:dyDescent="0.25">
      <c r="A173" s="9">
        <v>1687</v>
      </c>
      <c r="B173" s="12" t="s">
        <v>495</v>
      </c>
      <c r="C173" s="16" t="s">
        <v>613</v>
      </c>
      <c r="D173" s="9" t="s">
        <v>610</v>
      </c>
      <c r="E173" s="13">
        <v>0</v>
      </c>
      <c r="F173" s="13">
        <v>30</v>
      </c>
      <c r="G173" s="19">
        <f>[1]!Tabela2[[#This Row],[VOL.]]*[1]!Tabela2[[#This Row],[UNID.]]</f>
        <v>40</v>
      </c>
    </row>
    <row r="174" spans="1:7" x14ac:dyDescent="0.25">
      <c r="A174" s="9">
        <v>1924</v>
      </c>
      <c r="B174" s="12" t="s">
        <v>499</v>
      </c>
      <c r="C174" s="16" t="s">
        <v>357</v>
      </c>
      <c r="D174" s="9" t="s">
        <v>610</v>
      </c>
      <c r="E174" s="13">
        <v>0</v>
      </c>
      <c r="F174" s="13">
        <v>30</v>
      </c>
      <c r="G174" s="19">
        <f>[1]!Tabela2[[#This Row],[VOL.]]*[1]!Tabela2[[#This Row],[UNID.]]</f>
        <v>0</v>
      </c>
    </row>
    <row r="175" spans="1:7" hidden="1" x14ac:dyDescent="0.25">
      <c r="A175" s="9">
        <v>1819</v>
      </c>
      <c r="B175" s="12" t="s">
        <v>506</v>
      </c>
      <c r="C175" s="16" t="s">
        <v>355</v>
      </c>
      <c r="D175" s="9" t="s">
        <v>610</v>
      </c>
      <c r="E175" s="13">
        <v>0</v>
      </c>
      <c r="F175" s="13">
        <v>36</v>
      </c>
      <c r="G175" s="19">
        <f>[1]!Tabela2[[#This Row],[VOL.]]*[1]!Tabela2[[#This Row],[UNID.]]</f>
        <v>0</v>
      </c>
    </row>
    <row r="176" spans="1:7" x14ac:dyDescent="0.25">
      <c r="A176" s="9">
        <v>1636</v>
      </c>
      <c r="B176" s="12" t="s">
        <v>506</v>
      </c>
      <c r="C176" s="16" t="s">
        <v>609</v>
      </c>
      <c r="D176" s="9" t="s">
        <v>610</v>
      </c>
      <c r="E176" s="13">
        <v>0</v>
      </c>
      <c r="F176" s="13">
        <v>36</v>
      </c>
      <c r="G176" s="19">
        <f>[1]!Tabela2[[#This Row],[VOL.]]*[1]!Tabela2[[#This Row],[UNID.]]</f>
        <v>0</v>
      </c>
    </row>
    <row r="177" spans="1:7" x14ac:dyDescent="0.25">
      <c r="A177" s="9">
        <v>1781</v>
      </c>
      <c r="B177" s="12" t="s">
        <v>506</v>
      </c>
      <c r="C177" s="16" t="s">
        <v>628</v>
      </c>
      <c r="D177" s="9" t="s">
        <v>617</v>
      </c>
      <c r="E177" s="13">
        <v>0</v>
      </c>
      <c r="F177" s="13">
        <v>20</v>
      </c>
      <c r="G177" s="19">
        <f>[1]!Tabela2[[#This Row],[VOL.]]*[1]!Tabela2[[#This Row],[UNID.]]</f>
        <v>0</v>
      </c>
    </row>
    <row r="178" spans="1:7" x14ac:dyDescent="0.25">
      <c r="A178" s="9">
        <v>1782</v>
      </c>
      <c r="B178" s="12" t="s">
        <v>506</v>
      </c>
      <c r="C178" s="16" t="s">
        <v>406</v>
      </c>
      <c r="D178" s="9" t="s">
        <v>617</v>
      </c>
      <c r="E178" s="13">
        <v>0</v>
      </c>
      <c r="F178" s="13"/>
      <c r="G178" s="19">
        <f>[1]!Tabela2[[#This Row],[VOL.]]*[1]!Tabela2[[#This Row],[UNID.]]</f>
        <v>0</v>
      </c>
    </row>
    <row r="179" spans="1:7" x14ac:dyDescent="0.25">
      <c r="A179" s="9">
        <v>290</v>
      </c>
      <c r="B179" s="12" t="s">
        <v>521</v>
      </c>
      <c r="C179" s="16" t="s">
        <v>360</v>
      </c>
      <c r="D179" s="9" t="s">
        <v>610</v>
      </c>
      <c r="E179" s="13">
        <v>0</v>
      </c>
      <c r="F179" s="13"/>
      <c r="G179" s="19">
        <f>[1]!Tabela2[[#This Row],[VOL.]]*[1]!Tabela2[[#This Row],[UNID.]]</f>
        <v>0</v>
      </c>
    </row>
    <row r="180" spans="1:7" x14ac:dyDescent="0.25">
      <c r="A180" s="9">
        <v>291</v>
      </c>
      <c r="B180" s="12" t="s">
        <v>521</v>
      </c>
      <c r="C180" s="16" t="s">
        <v>624</v>
      </c>
      <c r="D180" s="9" t="s">
        <v>610</v>
      </c>
      <c r="E180" s="13">
        <v>0</v>
      </c>
      <c r="F180" s="13"/>
      <c r="G180" s="19">
        <f>[1]!Tabela2[[#This Row],[VOL.]]*[1]!Tabela2[[#This Row],[UNID.]]</f>
        <v>0</v>
      </c>
    </row>
    <row r="181" spans="1:7" x14ac:dyDescent="0.25">
      <c r="A181" s="9">
        <v>292</v>
      </c>
      <c r="B181" s="12" t="s">
        <v>521</v>
      </c>
      <c r="C181" s="16" t="s">
        <v>625</v>
      </c>
      <c r="D181" s="9" t="s">
        <v>610</v>
      </c>
      <c r="E181" s="13">
        <v>0</v>
      </c>
      <c r="F181" s="13"/>
      <c r="G181" s="19">
        <f>[1]!Tabela2[[#This Row],[VOL.]]*[1]!Tabela2[[#This Row],[UNID.]]</f>
        <v>0</v>
      </c>
    </row>
    <row r="182" spans="1:7" x14ac:dyDescent="0.25">
      <c r="A182" s="9">
        <v>293</v>
      </c>
      <c r="B182" s="12" t="s">
        <v>521</v>
      </c>
      <c r="C182" s="16" t="s">
        <v>404</v>
      </c>
      <c r="D182" s="9" t="s">
        <v>610</v>
      </c>
      <c r="E182" s="13">
        <v>0</v>
      </c>
      <c r="F182" s="13"/>
      <c r="G182" s="19">
        <f>[1]!Tabela2[[#This Row],[VOL.]]*[1]!Tabela2[[#This Row],[UNID.]]</f>
        <v>0</v>
      </c>
    </row>
    <row r="183" spans="1:7" x14ac:dyDescent="0.25">
      <c r="A183" s="9">
        <v>294</v>
      </c>
      <c r="B183" s="12" t="s">
        <v>521</v>
      </c>
      <c r="C183" s="16" t="s">
        <v>405</v>
      </c>
      <c r="D183" s="9" t="s">
        <v>610</v>
      </c>
      <c r="E183" s="13">
        <v>0</v>
      </c>
      <c r="F183" s="13"/>
      <c r="G183" s="19">
        <f>[1]!Tabela2[[#This Row],[VOL.]]*[1]!Tabela2[[#This Row],[UNID.]]</f>
        <v>0</v>
      </c>
    </row>
    <row r="184" spans="1:7" x14ac:dyDescent="0.25">
      <c r="A184" s="9">
        <v>295</v>
      </c>
      <c r="B184" s="12" t="s">
        <v>521</v>
      </c>
      <c r="C184" s="16" t="s">
        <v>627</v>
      </c>
      <c r="D184" s="9" t="s">
        <v>610</v>
      </c>
      <c r="E184" s="13">
        <v>0</v>
      </c>
      <c r="F184" s="13"/>
      <c r="G184" s="19">
        <f>[1]!Tabela2[[#This Row],[VOL.]]*[1]!Tabela2[[#This Row],[UNID.]]</f>
        <v>0</v>
      </c>
    </row>
    <row r="185" spans="1:7" hidden="1" x14ac:dyDescent="0.25">
      <c r="A185" s="9">
        <v>296</v>
      </c>
      <c r="B185" s="12" t="s">
        <v>521</v>
      </c>
      <c r="C185" s="16" t="s">
        <v>628</v>
      </c>
      <c r="D185" s="9" t="s">
        <v>610</v>
      </c>
      <c r="E185" s="13">
        <v>2</v>
      </c>
      <c r="F185" s="13">
        <v>20</v>
      </c>
      <c r="G185" s="19">
        <f>[1]!Tabela2[[#This Row],[VOL.]]*[1]!Tabela2[[#This Row],[UNID.]]</f>
        <v>0</v>
      </c>
    </row>
    <row r="186" spans="1:7" x14ac:dyDescent="0.25">
      <c r="A186" s="9">
        <v>297</v>
      </c>
      <c r="B186" s="12" t="s">
        <v>548</v>
      </c>
      <c r="C186" s="16" t="s">
        <v>405</v>
      </c>
      <c r="D186" s="9" t="s">
        <v>610</v>
      </c>
      <c r="E186" s="13">
        <v>0</v>
      </c>
      <c r="F186" s="13">
        <v>20</v>
      </c>
      <c r="G186" s="19">
        <f>[1]!Tabela2[[#This Row],[VOL.]]*[1]!Tabela2[[#This Row],[UNID.]]</f>
        <v>0</v>
      </c>
    </row>
    <row r="187" spans="1:7" x14ac:dyDescent="0.25">
      <c r="A187" s="9">
        <v>298</v>
      </c>
      <c r="B187" s="12" t="s">
        <v>548</v>
      </c>
      <c r="C187" s="16" t="s">
        <v>627</v>
      </c>
      <c r="D187" s="9" t="s">
        <v>610</v>
      </c>
      <c r="E187" s="13">
        <v>0</v>
      </c>
      <c r="F187" s="13">
        <v>20</v>
      </c>
      <c r="G187" s="19">
        <f>[1]!Tabela2[[#This Row],[VOL.]]*[1]!Tabela2[[#This Row],[UNID.]]</f>
        <v>40</v>
      </c>
    </row>
    <row r="188" spans="1:7" x14ac:dyDescent="0.25">
      <c r="A188" s="9">
        <v>299</v>
      </c>
      <c r="B188" s="12" t="s">
        <v>548</v>
      </c>
      <c r="C188" s="16" t="s">
        <v>628</v>
      </c>
      <c r="D188" s="9" t="s">
        <v>610</v>
      </c>
      <c r="E188" s="13">
        <v>0</v>
      </c>
      <c r="F188" s="13">
        <v>20</v>
      </c>
      <c r="G188" s="19">
        <f>[1]!Tabela2[[#This Row],[VOL.]]*[1]!Tabela2[[#This Row],[UNID.]]</f>
        <v>0</v>
      </c>
    </row>
    <row r="189" spans="1:7" hidden="1" x14ac:dyDescent="0.25">
      <c r="A189" s="9">
        <v>300</v>
      </c>
      <c r="B189" s="12" t="s">
        <v>548</v>
      </c>
      <c r="C189" s="16" t="s">
        <v>406</v>
      </c>
      <c r="D189" s="9" t="s">
        <v>610</v>
      </c>
      <c r="E189" s="13">
        <v>1</v>
      </c>
      <c r="F189" s="13">
        <v>20</v>
      </c>
      <c r="G189" s="19">
        <f>[1]!Tabela2[[#This Row],[VOL.]]*[1]!Tabela2[[#This Row],[UNID.]]</f>
        <v>0</v>
      </c>
    </row>
    <row r="190" spans="1:7" x14ac:dyDescent="0.25">
      <c r="A190" s="9">
        <v>301</v>
      </c>
      <c r="B190" s="12" t="s">
        <v>548</v>
      </c>
      <c r="C190" s="16" t="s">
        <v>629</v>
      </c>
      <c r="D190" s="9" t="s">
        <v>610</v>
      </c>
      <c r="E190" s="13">
        <v>0</v>
      </c>
      <c r="F190" s="13"/>
      <c r="G190" s="19">
        <f>[1]!Tabela2[[#This Row],[VOL.]]*[1]!Tabela2[[#This Row],[UNID.]]</f>
        <v>0</v>
      </c>
    </row>
    <row r="191" spans="1:7" x14ac:dyDescent="0.25">
      <c r="A191" s="9">
        <v>302</v>
      </c>
      <c r="B191" s="12" t="s">
        <v>548</v>
      </c>
      <c r="C191" s="16" t="s">
        <v>631</v>
      </c>
      <c r="D191" s="9" t="s">
        <v>610</v>
      </c>
      <c r="E191" s="13">
        <v>0</v>
      </c>
      <c r="F191" s="13"/>
      <c r="G191" s="19">
        <f>[1]!Tabela2[[#This Row],[VOL.]]*[1]!Tabela2[[#This Row],[UNID.]]</f>
        <v>20</v>
      </c>
    </row>
    <row r="192" spans="1:7" x14ac:dyDescent="0.25">
      <c r="A192" s="9">
        <v>303</v>
      </c>
      <c r="B192" s="12" t="s">
        <v>548</v>
      </c>
      <c r="C192" s="16" t="s">
        <v>632</v>
      </c>
      <c r="D192" s="9" t="s">
        <v>610</v>
      </c>
      <c r="E192" s="13">
        <v>0</v>
      </c>
      <c r="F192" s="13"/>
      <c r="G192" s="19">
        <f>[1]!Tabela2[[#This Row],[VOL.]]*[1]!Tabela2[[#This Row],[UNID.]]</f>
        <v>0</v>
      </c>
    </row>
    <row r="193" spans="1:7" x14ac:dyDescent="0.25">
      <c r="A193" s="9">
        <v>304</v>
      </c>
      <c r="B193" s="12" t="s">
        <v>548</v>
      </c>
      <c r="C193" s="16" t="s">
        <v>633</v>
      </c>
      <c r="D193" s="9" t="s">
        <v>610</v>
      </c>
      <c r="E193" s="13">
        <v>0</v>
      </c>
      <c r="F193" s="13"/>
      <c r="G193" s="19">
        <f>[1]!Tabela2[[#This Row],[VOL.]]*[1]!Tabela2[[#This Row],[UNID.]]</f>
        <v>0</v>
      </c>
    </row>
    <row r="194" spans="1:7" x14ac:dyDescent="0.25">
      <c r="A194" s="9">
        <v>1641</v>
      </c>
      <c r="B194" s="12" t="s">
        <v>549</v>
      </c>
      <c r="C194" s="16"/>
      <c r="D194" s="9" t="s">
        <v>617</v>
      </c>
      <c r="E194" s="13"/>
      <c r="F194" s="13">
        <v>1000</v>
      </c>
      <c r="G194" s="19">
        <f>[1]!Tabela2[[#This Row],[VOL.]]*[1]!Tabela2[[#This Row],[UNID.]]</f>
        <v>0</v>
      </c>
    </row>
    <row r="195" spans="1:7" hidden="1" x14ac:dyDescent="0.25">
      <c r="A195" s="9">
        <v>1642</v>
      </c>
      <c r="B195" s="12" t="s">
        <v>550</v>
      </c>
      <c r="C195" s="16"/>
      <c r="D195" s="9" t="s">
        <v>617</v>
      </c>
      <c r="E195" s="13">
        <v>0</v>
      </c>
      <c r="F195" s="13">
        <v>1000</v>
      </c>
      <c r="G195" s="19">
        <f>[1]!Tabela2[[#This Row],[VOL.]]*[1]!Tabela2[[#This Row],[UNID.]]</f>
        <v>0</v>
      </c>
    </row>
    <row r="196" spans="1:7" hidden="1" x14ac:dyDescent="0.25">
      <c r="A196" s="9">
        <v>1643</v>
      </c>
      <c r="B196" s="12" t="s">
        <v>551</v>
      </c>
      <c r="C196" s="16"/>
      <c r="D196" s="9" t="s">
        <v>617</v>
      </c>
      <c r="E196" s="13">
        <v>0</v>
      </c>
      <c r="F196" s="13">
        <v>900</v>
      </c>
      <c r="G196" s="19">
        <f>[1]!Tabela2[[#This Row],[VOL.]]*[1]!Tabela2[[#This Row],[UNID.]]</f>
        <v>0</v>
      </c>
    </row>
    <row r="197" spans="1:7" hidden="1" x14ac:dyDescent="0.25">
      <c r="A197" s="9">
        <v>327</v>
      </c>
      <c r="B197" s="12" t="s">
        <v>552</v>
      </c>
      <c r="C197" s="16" t="s">
        <v>351</v>
      </c>
      <c r="D197" s="9" t="s">
        <v>600</v>
      </c>
      <c r="E197" s="13">
        <v>0</v>
      </c>
      <c r="F197" s="13">
        <v>50</v>
      </c>
      <c r="G197" s="19">
        <f>[1]!Tabela2[[#This Row],[VOL.]]*[1]!Tabela2[[#This Row],[UNID.]]</f>
        <v>0</v>
      </c>
    </row>
    <row r="198" spans="1:7" hidden="1" x14ac:dyDescent="0.25">
      <c r="A198" s="9">
        <v>327</v>
      </c>
      <c r="B198" s="12" t="s">
        <v>553</v>
      </c>
      <c r="C198" s="16" t="s">
        <v>634</v>
      </c>
      <c r="D198" s="9" t="s">
        <v>600</v>
      </c>
      <c r="E198" s="13">
        <v>0</v>
      </c>
      <c r="F198" s="13">
        <v>56</v>
      </c>
      <c r="G198" s="19">
        <f>[1]!Tabela2[[#This Row],[VOL.]]*[1]!Tabela2[[#This Row],[UNID.]]</f>
        <v>0</v>
      </c>
    </row>
    <row r="199" spans="1:7" hidden="1" x14ac:dyDescent="0.25">
      <c r="A199" s="9">
        <v>328</v>
      </c>
      <c r="B199" s="12" t="s">
        <v>554</v>
      </c>
      <c r="C199" s="16" t="s">
        <v>607</v>
      </c>
      <c r="D199" s="9" t="s">
        <v>600</v>
      </c>
      <c r="E199" s="13">
        <v>0</v>
      </c>
      <c r="F199" s="13">
        <v>50</v>
      </c>
      <c r="G199" s="19">
        <f>[1]!Tabela2[[#This Row],[VOL.]]*[1]!Tabela2[[#This Row],[UNID.]]</f>
        <v>0</v>
      </c>
    </row>
    <row r="200" spans="1:7" x14ac:dyDescent="0.25">
      <c r="A200" s="9">
        <v>328</v>
      </c>
      <c r="B200" s="12" t="s">
        <v>554</v>
      </c>
      <c r="C200" s="16" t="s">
        <v>607</v>
      </c>
      <c r="D200" s="9" t="s">
        <v>600</v>
      </c>
      <c r="E200" s="13">
        <v>0</v>
      </c>
      <c r="F200" s="13">
        <v>50</v>
      </c>
      <c r="G200" s="19">
        <f>[1]!Tabela2[[#This Row],[VOL.]]*[1]!Tabela2[[#This Row],[UNID.]]</f>
        <v>0</v>
      </c>
    </row>
    <row r="201" spans="1:7" hidden="1" x14ac:dyDescent="0.25">
      <c r="A201" s="9">
        <v>329</v>
      </c>
      <c r="B201" s="12" t="s">
        <v>555</v>
      </c>
      <c r="C201" s="16" t="s">
        <v>352</v>
      </c>
      <c r="D201" s="9" t="s">
        <v>600</v>
      </c>
      <c r="E201" s="13">
        <v>0</v>
      </c>
      <c r="F201" s="13">
        <v>50</v>
      </c>
      <c r="G201" s="19">
        <f>[1]!Tabela2[[#This Row],[VOL.]]*[1]!Tabela2[[#This Row],[UNID.]]</f>
        <v>0</v>
      </c>
    </row>
    <row r="202" spans="1:7" hidden="1" x14ac:dyDescent="0.25">
      <c r="A202" s="9">
        <v>329</v>
      </c>
      <c r="B202" s="12" t="s">
        <v>555</v>
      </c>
      <c r="C202" s="16" t="s">
        <v>352</v>
      </c>
      <c r="D202" s="9" t="s">
        <v>600</v>
      </c>
      <c r="E202" s="13">
        <v>0</v>
      </c>
      <c r="F202" s="13">
        <v>50</v>
      </c>
      <c r="G202" s="19">
        <f>[1]!Tabela2[[#This Row],[VOL.]]*[1]!Tabela2[[#This Row],[UNID.]]</f>
        <v>0</v>
      </c>
    </row>
    <row r="203" spans="1:7" hidden="1" x14ac:dyDescent="0.25">
      <c r="A203" s="9">
        <v>330</v>
      </c>
      <c r="B203" s="12" t="s">
        <v>556</v>
      </c>
      <c r="C203" s="16" t="s">
        <v>608</v>
      </c>
      <c r="D203" s="9" t="s">
        <v>600</v>
      </c>
      <c r="E203" s="13">
        <v>0</v>
      </c>
      <c r="F203" s="13">
        <v>90</v>
      </c>
      <c r="G203" s="19">
        <f>[1]!Tabela2[[#This Row],[VOL.]]*[1]!Tabela2[[#This Row],[UNID.]]</f>
        <v>0</v>
      </c>
    </row>
    <row r="204" spans="1:7" hidden="1" x14ac:dyDescent="0.25">
      <c r="A204" s="9">
        <v>330</v>
      </c>
      <c r="B204" s="12" t="s">
        <v>557</v>
      </c>
      <c r="C204" s="16" t="s">
        <v>608</v>
      </c>
      <c r="D204" s="9" t="s">
        <v>600</v>
      </c>
      <c r="E204" s="13">
        <v>15</v>
      </c>
      <c r="F204" s="13">
        <v>50</v>
      </c>
      <c r="G204" s="19">
        <f>[1]!Tabela2[[#This Row],[VOL.]]*[1]!Tabela2[[#This Row],[UNID.]]</f>
        <v>0</v>
      </c>
    </row>
    <row r="205" spans="1:7" x14ac:dyDescent="0.25">
      <c r="A205" s="9">
        <v>331</v>
      </c>
      <c r="B205" s="12" t="s">
        <v>558</v>
      </c>
      <c r="C205" s="16" t="s">
        <v>609</v>
      </c>
      <c r="D205" s="9" t="s">
        <v>600</v>
      </c>
      <c r="E205" s="13">
        <v>0</v>
      </c>
      <c r="F205" s="13"/>
      <c r="G205" s="19">
        <f>[1]!Tabela2[[#This Row],[VOL.]]*[1]!Tabela2[[#This Row],[UNID.]]</f>
        <v>0</v>
      </c>
    </row>
    <row r="206" spans="1:7" x14ac:dyDescent="0.25">
      <c r="A206" s="9">
        <v>331</v>
      </c>
      <c r="B206" s="12" t="s">
        <v>558</v>
      </c>
      <c r="C206" s="16" t="s">
        <v>609</v>
      </c>
      <c r="D206" s="9" t="s">
        <v>600</v>
      </c>
      <c r="E206" s="13">
        <v>0</v>
      </c>
      <c r="F206" s="13"/>
      <c r="G206" s="19">
        <f>[1]!Tabela2[[#This Row],[VOL.]]*[1]!Tabela2[[#This Row],[UNID.]]</f>
        <v>750</v>
      </c>
    </row>
    <row r="207" spans="1:7" x14ac:dyDescent="0.25">
      <c r="A207" s="9">
        <v>332</v>
      </c>
      <c r="B207" s="12" t="s">
        <v>559</v>
      </c>
      <c r="C207" s="16" t="s">
        <v>355</v>
      </c>
      <c r="D207" s="9" t="s">
        <v>600</v>
      </c>
      <c r="E207" s="13">
        <v>0</v>
      </c>
      <c r="F207" s="13">
        <v>40</v>
      </c>
      <c r="G207" s="19">
        <f>[1]!Tabela2[[#This Row],[VOL.]]*[1]!Tabela2[[#This Row],[UNID.]]</f>
        <v>0</v>
      </c>
    </row>
    <row r="208" spans="1:7" hidden="1" x14ac:dyDescent="0.25">
      <c r="A208" s="9">
        <v>332</v>
      </c>
      <c r="B208" s="12" t="s">
        <v>559</v>
      </c>
      <c r="C208" s="16" t="s">
        <v>355</v>
      </c>
      <c r="D208" s="9" t="s">
        <v>600</v>
      </c>
      <c r="E208" s="13">
        <v>3</v>
      </c>
      <c r="F208" s="13">
        <v>40</v>
      </c>
      <c r="G208" s="19">
        <f>[1]!Tabela2[[#This Row],[VOL.]]*[1]!Tabela2[[#This Row],[UNID.]]</f>
        <v>0</v>
      </c>
    </row>
    <row r="209" spans="1:7" hidden="1" x14ac:dyDescent="0.25">
      <c r="A209" s="9">
        <v>333</v>
      </c>
      <c r="B209" s="12" t="s">
        <v>467</v>
      </c>
      <c r="C209" s="16" t="s">
        <v>611</v>
      </c>
      <c r="D209" s="9" t="s">
        <v>600</v>
      </c>
      <c r="E209" s="13">
        <v>0</v>
      </c>
      <c r="F209" s="13">
        <v>50</v>
      </c>
      <c r="G209" s="19">
        <f>[1]!Tabela2[[#This Row],[VOL.]]*[1]!Tabela2[[#This Row],[UNID.]]</f>
        <v>0</v>
      </c>
    </row>
    <row r="210" spans="1:7" x14ac:dyDescent="0.25">
      <c r="A210" s="9">
        <v>333</v>
      </c>
      <c r="B210" s="12" t="s">
        <v>467</v>
      </c>
      <c r="C210" s="16" t="s">
        <v>611</v>
      </c>
      <c r="D210" s="9" t="s">
        <v>600</v>
      </c>
      <c r="E210" s="13">
        <v>1</v>
      </c>
      <c r="F210" s="13"/>
      <c r="G210" s="19">
        <f>[1]!Tabela2[[#This Row],[VOL.]]*[1]!Tabela2[[#This Row],[UNID.]]</f>
        <v>120</v>
      </c>
    </row>
    <row r="211" spans="1:7" x14ac:dyDescent="0.25">
      <c r="A211" s="9">
        <v>1690</v>
      </c>
      <c r="B211" s="12" t="s">
        <v>477</v>
      </c>
      <c r="C211" s="16" t="s">
        <v>356</v>
      </c>
      <c r="D211" s="9" t="s">
        <v>600</v>
      </c>
      <c r="E211" s="13">
        <v>0</v>
      </c>
      <c r="F211" s="13">
        <v>32</v>
      </c>
      <c r="G211" s="19">
        <f>[1]!Tabela2[[#This Row],[VOL.]]*[1]!Tabela2[[#This Row],[UNID.]]</f>
        <v>0</v>
      </c>
    </row>
    <row r="212" spans="1:7" hidden="1" x14ac:dyDescent="0.25">
      <c r="A212" s="9">
        <v>334</v>
      </c>
      <c r="B212" s="12" t="s">
        <v>560</v>
      </c>
      <c r="C212" s="16" t="s">
        <v>612</v>
      </c>
      <c r="D212" s="9" t="s">
        <v>600</v>
      </c>
      <c r="E212" s="13">
        <v>4</v>
      </c>
      <c r="F212" s="13">
        <v>40</v>
      </c>
      <c r="G212" s="19">
        <f>[1]!Tabela2[[#This Row],[VOL.]]*[1]!Tabela2[[#This Row],[UNID.]]</f>
        <v>0</v>
      </c>
    </row>
    <row r="213" spans="1:7" hidden="1" x14ac:dyDescent="0.25">
      <c r="A213" s="9">
        <v>335</v>
      </c>
      <c r="B213" s="12" t="s">
        <v>561</v>
      </c>
      <c r="C213" s="16" t="s">
        <v>613</v>
      </c>
      <c r="D213" s="9" t="s">
        <v>600</v>
      </c>
      <c r="E213" s="13">
        <v>0</v>
      </c>
      <c r="F213" s="13">
        <v>40</v>
      </c>
      <c r="G213" s="19">
        <f>[1]!Tabela2[[#This Row],[VOL.]]*[1]!Tabela2[[#This Row],[UNID.]]</f>
        <v>0</v>
      </c>
    </row>
    <row r="214" spans="1:7" hidden="1" x14ac:dyDescent="0.25">
      <c r="A214" s="9">
        <v>335</v>
      </c>
      <c r="B214" s="12" t="s">
        <v>561</v>
      </c>
      <c r="C214" s="16" t="s">
        <v>613</v>
      </c>
      <c r="D214" s="9" t="s">
        <v>600</v>
      </c>
      <c r="E214" s="13">
        <v>0</v>
      </c>
      <c r="F214" s="13">
        <v>30</v>
      </c>
      <c r="G214" s="19">
        <f>[1]!Tabela2[[#This Row],[VOL.]]*[1]!Tabela2[[#This Row],[UNID.]]</f>
        <v>160</v>
      </c>
    </row>
    <row r="215" spans="1:7" hidden="1" x14ac:dyDescent="0.25">
      <c r="A215" s="9">
        <v>336</v>
      </c>
      <c r="B215" s="12" t="s">
        <v>562</v>
      </c>
      <c r="C215" s="16" t="s">
        <v>356</v>
      </c>
      <c r="D215" s="9" t="s">
        <v>600</v>
      </c>
      <c r="E215" s="13">
        <v>0</v>
      </c>
      <c r="F215" s="13">
        <v>40</v>
      </c>
      <c r="G215" s="19">
        <f>[1]!Tabela2[[#This Row],[VOL.]]*[1]!Tabela2[[#This Row],[UNID.]]</f>
        <v>0</v>
      </c>
    </row>
    <row r="216" spans="1:7" hidden="1" x14ac:dyDescent="0.25">
      <c r="A216" s="9">
        <v>336</v>
      </c>
      <c r="B216" s="12" t="s">
        <v>562</v>
      </c>
      <c r="C216" s="16" t="s">
        <v>356</v>
      </c>
      <c r="D216" s="9" t="s">
        <v>600</v>
      </c>
      <c r="E216" s="13">
        <v>0</v>
      </c>
      <c r="F216" s="13">
        <v>40</v>
      </c>
      <c r="G216" s="19">
        <f>[1]!Tabela2[[#This Row],[VOL.]]*[1]!Tabela2[[#This Row],[UNID.]]</f>
        <v>0</v>
      </c>
    </row>
    <row r="217" spans="1:7" hidden="1" x14ac:dyDescent="0.25">
      <c r="A217" s="9">
        <v>337</v>
      </c>
      <c r="B217" s="12" t="s">
        <v>563</v>
      </c>
      <c r="C217" s="16" t="s">
        <v>614</v>
      </c>
      <c r="D217" s="9" t="s">
        <v>600</v>
      </c>
      <c r="E217" s="13">
        <v>0</v>
      </c>
      <c r="F217" s="13">
        <v>32</v>
      </c>
      <c r="G217" s="19">
        <f>[1]!Tabela2[[#This Row],[VOL.]]*[1]!Tabela2[[#This Row],[UNID.]]</f>
        <v>0</v>
      </c>
    </row>
    <row r="218" spans="1:7" x14ac:dyDescent="0.25">
      <c r="A218" s="9">
        <v>337</v>
      </c>
      <c r="B218" s="12" t="s">
        <v>563</v>
      </c>
      <c r="C218" s="16" t="s">
        <v>614</v>
      </c>
      <c r="D218" s="9" t="s">
        <v>600</v>
      </c>
      <c r="E218" s="13">
        <v>0</v>
      </c>
      <c r="F218" s="13">
        <v>32</v>
      </c>
      <c r="G218" s="19">
        <f>[1]!Tabela2[[#This Row],[VOL.]]*[1]!Tabela2[[#This Row],[UNID.]]</f>
        <v>0</v>
      </c>
    </row>
    <row r="219" spans="1:7" hidden="1" x14ac:dyDescent="0.25">
      <c r="A219" s="9">
        <v>339</v>
      </c>
      <c r="B219" s="12" t="s">
        <v>564</v>
      </c>
      <c r="C219" s="16" t="s">
        <v>613</v>
      </c>
      <c r="D219" s="9" t="s">
        <v>610</v>
      </c>
      <c r="E219" s="13">
        <v>4</v>
      </c>
      <c r="F219" s="13">
        <v>32</v>
      </c>
      <c r="G219" s="19">
        <f>[1]!Tabela2[[#This Row],[VOL.]]*[1]!Tabela2[[#This Row],[UNID.]]</f>
        <v>0</v>
      </c>
    </row>
    <row r="220" spans="1:7" hidden="1" x14ac:dyDescent="0.25">
      <c r="A220" s="9">
        <v>339</v>
      </c>
      <c r="B220" s="12" t="s">
        <v>564</v>
      </c>
      <c r="C220" s="16" t="s">
        <v>613</v>
      </c>
      <c r="D220" s="9" t="s">
        <v>610</v>
      </c>
      <c r="E220" s="13">
        <v>0</v>
      </c>
      <c r="F220" s="13">
        <v>32</v>
      </c>
      <c r="G220" s="19">
        <f>[1]!Tabela2[[#This Row],[VOL.]]*[1]!Tabela2[[#This Row],[UNID.]]</f>
        <v>0</v>
      </c>
    </row>
    <row r="221" spans="1:7" x14ac:dyDescent="0.25">
      <c r="A221" s="9">
        <v>340</v>
      </c>
      <c r="B221" s="12" t="s">
        <v>463</v>
      </c>
      <c r="C221" s="16" t="s">
        <v>614</v>
      </c>
      <c r="D221" s="9" t="s">
        <v>610</v>
      </c>
      <c r="E221" s="13">
        <v>0</v>
      </c>
      <c r="F221" s="13">
        <v>32</v>
      </c>
      <c r="G221" s="19">
        <f>[1]!Tabela2[[#This Row],[VOL.]]*[1]!Tabela2[[#This Row],[UNID.]]</f>
        <v>128</v>
      </c>
    </row>
    <row r="222" spans="1:7" x14ac:dyDescent="0.25">
      <c r="A222" s="9">
        <v>340</v>
      </c>
      <c r="B222" s="12" t="s">
        <v>463</v>
      </c>
      <c r="C222" s="16" t="s">
        <v>614</v>
      </c>
      <c r="D222" s="9" t="s">
        <v>610</v>
      </c>
      <c r="E222" s="13">
        <v>0</v>
      </c>
      <c r="F222" s="13">
        <v>32</v>
      </c>
      <c r="G222" s="19">
        <f>[1]!Tabela2[[#This Row],[VOL.]]*[1]!Tabela2[[#This Row],[UNID.]]</f>
        <v>0</v>
      </c>
    </row>
    <row r="223" spans="1:7" x14ac:dyDescent="0.25">
      <c r="A223" s="9">
        <v>341</v>
      </c>
      <c r="B223" s="12" t="s">
        <v>463</v>
      </c>
      <c r="C223" s="16" t="s">
        <v>357</v>
      </c>
      <c r="D223" s="9" t="s">
        <v>610</v>
      </c>
      <c r="E223" s="13">
        <v>0</v>
      </c>
      <c r="F223" s="13">
        <v>32</v>
      </c>
      <c r="G223" s="19">
        <f>[1]!Tabela2[[#This Row],[VOL.]]*[1]!Tabela2[[#This Row],[UNID.]]</f>
        <v>0</v>
      </c>
    </row>
    <row r="224" spans="1:7" x14ac:dyDescent="0.25">
      <c r="A224" s="9">
        <v>341</v>
      </c>
      <c r="B224" s="12" t="s">
        <v>463</v>
      </c>
      <c r="C224" s="16" t="s">
        <v>357</v>
      </c>
      <c r="D224" s="9" t="s">
        <v>610</v>
      </c>
      <c r="E224" s="13">
        <v>0</v>
      </c>
      <c r="F224" s="13">
        <v>32</v>
      </c>
      <c r="G224" s="19">
        <f>[1]!Tabela2[[#This Row],[VOL.]]*[1]!Tabela2[[#This Row],[UNID.]]</f>
        <v>0</v>
      </c>
    </row>
    <row r="225" spans="1:7" x14ac:dyDescent="0.25">
      <c r="A225" s="9">
        <v>342</v>
      </c>
      <c r="B225" s="12" t="s">
        <v>463</v>
      </c>
      <c r="C225" s="16" t="s">
        <v>615</v>
      </c>
      <c r="D225" s="9" t="s">
        <v>610</v>
      </c>
      <c r="E225" s="13">
        <v>0</v>
      </c>
      <c r="F225" s="13">
        <v>32</v>
      </c>
      <c r="G225" s="19">
        <f>[1]!Tabela2[[#This Row],[VOL.]]*[1]!Tabela2[[#This Row],[UNID.]]</f>
        <v>0</v>
      </c>
    </row>
    <row r="226" spans="1:7" x14ac:dyDescent="0.25">
      <c r="A226" s="9">
        <v>342</v>
      </c>
      <c r="B226" s="12" t="s">
        <v>463</v>
      </c>
      <c r="C226" s="16" t="s">
        <v>615</v>
      </c>
      <c r="D226" s="9" t="s">
        <v>610</v>
      </c>
      <c r="E226" s="13">
        <v>0</v>
      </c>
      <c r="F226" s="13">
        <v>32</v>
      </c>
      <c r="G226" s="19">
        <f>[1]!Tabela2[[#This Row],[VOL.]]*[1]!Tabela2[[#This Row],[UNID.]]</f>
        <v>0</v>
      </c>
    </row>
    <row r="227" spans="1:7" x14ac:dyDescent="0.25">
      <c r="A227" s="9">
        <v>343</v>
      </c>
      <c r="B227" s="12" t="s">
        <v>463</v>
      </c>
      <c r="C227" s="16" t="s">
        <v>622</v>
      </c>
      <c r="D227" s="9" t="s">
        <v>610</v>
      </c>
      <c r="E227" s="13">
        <v>0</v>
      </c>
      <c r="F227" s="13"/>
      <c r="G227" s="19">
        <f>[1]!Tabela2[[#This Row],[VOL.]]*[1]!Tabela2[[#This Row],[UNID.]]</f>
        <v>0</v>
      </c>
    </row>
    <row r="228" spans="1:7" x14ac:dyDescent="0.25">
      <c r="A228" s="9">
        <v>343</v>
      </c>
      <c r="B228" s="12" t="s">
        <v>463</v>
      </c>
      <c r="C228" s="16" t="s">
        <v>622</v>
      </c>
      <c r="D228" s="9" t="s">
        <v>610</v>
      </c>
      <c r="E228" s="13">
        <v>0</v>
      </c>
      <c r="F228" s="13"/>
      <c r="G228" s="19">
        <f>[1]!Tabela2[[#This Row],[VOL.]]*[1]!Tabela2[[#This Row],[UNID.]]</f>
        <v>0</v>
      </c>
    </row>
    <row r="229" spans="1:7" x14ac:dyDescent="0.25">
      <c r="A229" s="9">
        <v>344</v>
      </c>
      <c r="B229" s="12" t="s">
        <v>463</v>
      </c>
      <c r="C229" s="16" t="s">
        <v>358</v>
      </c>
      <c r="D229" s="9" t="s">
        <v>610</v>
      </c>
      <c r="E229" s="13">
        <v>0</v>
      </c>
      <c r="F229" s="13"/>
      <c r="G229" s="19">
        <f>[1]!Tabela2[[#This Row],[VOL.]]*[1]!Tabela2[[#This Row],[UNID.]]</f>
        <v>0</v>
      </c>
    </row>
    <row r="230" spans="1:7" x14ac:dyDescent="0.25">
      <c r="A230" s="9">
        <v>344</v>
      </c>
      <c r="B230" s="12" t="s">
        <v>463</v>
      </c>
      <c r="C230" s="16" t="s">
        <v>358</v>
      </c>
      <c r="D230" s="9" t="s">
        <v>610</v>
      </c>
      <c r="E230" s="13">
        <v>0</v>
      </c>
      <c r="F230" s="13"/>
      <c r="G230" s="19">
        <f>[1]!Tabela2[[#This Row],[VOL.]]*[1]!Tabela2[[#This Row],[UNID.]]</f>
        <v>0</v>
      </c>
    </row>
    <row r="231" spans="1:7" x14ac:dyDescent="0.25">
      <c r="A231" s="9">
        <v>345</v>
      </c>
      <c r="B231" s="12" t="s">
        <v>463</v>
      </c>
      <c r="C231" s="16" t="s">
        <v>616</v>
      </c>
      <c r="D231" s="9" t="s">
        <v>610</v>
      </c>
      <c r="E231" s="13">
        <v>0</v>
      </c>
      <c r="F231" s="13"/>
      <c r="G231" s="19">
        <f>[1]!Tabela2[[#This Row],[VOL.]]*[1]!Tabela2[[#This Row],[UNID.]]</f>
        <v>0</v>
      </c>
    </row>
    <row r="232" spans="1:7" x14ac:dyDescent="0.25">
      <c r="A232" s="9">
        <v>345</v>
      </c>
      <c r="B232" s="12" t="s">
        <v>463</v>
      </c>
      <c r="C232" s="16" t="s">
        <v>616</v>
      </c>
      <c r="D232" s="9" t="s">
        <v>610</v>
      </c>
      <c r="E232" s="13">
        <v>0</v>
      </c>
      <c r="F232" s="13"/>
      <c r="G232" s="19">
        <f>[1]!Tabela2[[#This Row],[VOL.]]*[1]!Tabela2[[#This Row],[UNID.]]</f>
        <v>0</v>
      </c>
    </row>
    <row r="233" spans="1:7" x14ac:dyDescent="0.25">
      <c r="A233" s="9">
        <v>346</v>
      </c>
      <c r="B233" s="12" t="s">
        <v>463</v>
      </c>
      <c r="C233" s="16" t="s">
        <v>359</v>
      </c>
      <c r="D233" s="9" t="s">
        <v>610</v>
      </c>
      <c r="E233" s="13">
        <v>0</v>
      </c>
      <c r="F233" s="13"/>
      <c r="G233" s="19">
        <f>[1]!Tabela2[[#This Row],[VOL.]]*[1]!Tabela2[[#This Row],[UNID.]]</f>
        <v>0</v>
      </c>
    </row>
    <row r="234" spans="1:7" x14ac:dyDescent="0.25">
      <c r="A234" s="9">
        <v>346</v>
      </c>
      <c r="B234" s="12" t="s">
        <v>463</v>
      </c>
      <c r="C234" s="16" t="s">
        <v>359</v>
      </c>
      <c r="D234" s="9" t="s">
        <v>610</v>
      </c>
      <c r="E234" s="13">
        <v>0</v>
      </c>
      <c r="F234" s="13"/>
      <c r="G234" s="19">
        <f>[1]!Tabela2[[#This Row],[VOL.]]*[1]!Tabela2[[#This Row],[UNID.]]</f>
        <v>0</v>
      </c>
    </row>
    <row r="235" spans="1:7" x14ac:dyDescent="0.25">
      <c r="A235" s="9">
        <v>347</v>
      </c>
      <c r="B235" s="12" t="s">
        <v>463</v>
      </c>
      <c r="C235" s="16" t="s">
        <v>618</v>
      </c>
      <c r="D235" s="9" t="s">
        <v>610</v>
      </c>
      <c r="E235" s="13">
        <v>0</v>
      </c>
      <c r="F235" s="13"/>
      <c r="G235" s="19">
        <f>[1]!Tabela2[[#This Row],[VOL.]]*[1]!Tabela2[[#This Row],[UNID.]]</f>
        <v>0</v>
      </c>
    </row>
    <row r="236" spans="1:7" x14ac:dyDescent="0.25">
      <c r="A236" s="9">
        <v>347</v>
      </c>
      <c r="B236" s="12" t="s">
        <v>463</v>
      </c>
      <c r="C236" s="16" t="s">
        <v>618</v>
      </c>
      <c r="D236" s="9" t="s">
        <v>610</v>
      </c>
      <c r="E236" s="13">
        <v>0</v>
      </c>
      <c r="F236" s="13"/>
      <c r="G236" s="19">
        <f>[1]!Tabela2[[#This Row],[VOL.]]*[1]!Tabela2[[#This Row],[UNID.]]</f>
        <v>0</v>
      </c>
    </row>
    <row r="237" spans="1:7" x14ac:dyDescent="0.25">
      <c r="A237" s="9">
        <v>348</v>
      </c>
      <c r="B237" s="12" t="s">
        <v>463</v>
      </c>
      <c r="C237" s="16" t="s">
        <v>360</v>
      </c>
      <c r="D237" s="9" t="s">
        <v>610</v>
      </c>
      <c r="E237" s="13">
        <v>0</v>
      </c>
      <c r="F237" s="13"/>
      <c r="G237" s="19">
        <f>[1]!Tabela2[[#This Row],[VOL.]]*[1]!Tabela2[[#This Row],[UNID.]]</f>
        <v>0</v>
      </c>
    </row>
    <row r="238" spans="1:7" x14ac:dyDescent="0.25">
      <c r="A238" s="9">
        <v>348</v>
      </c>
      <c r="B238" s="12" t="s">
        <v>463</v>
      </c>
      <c r="C238" s="16" t="s">
        <v>360</v>
      </c>
      <c r="D238" s="9" t="s">
        <v>610</v>
      </c>
      <c r="E238" s="13">
        <v>0</v>
      </c>
      <c r="F238" s="13"/>
      <c r="G238" s="19">
        <f>[1]!Tabela2[[#This Row],[VOL.]]*[1]!Tabela2[[#This Row],[UNID.]]</f>
        <v>0</v>
      </c>
    </row>
    <row r="239" spans="1:7" x14ac:dyDescent="0.25">
      <c r="A239" s="9">
        <v>1697</v>
      </c>
      <c r="B239" s="12" t="s">
        <v>463</v>
      </c>
      <c r="C239" s="16" t="s">
        <v>356</v>
      </c>
      <c r="D239" s="9" t="s">
        <v>617</v>
      </c>
      <c r="E239" s="13"/>
      <c r="F239" s="13">
        <v>32</v>
      </c>
      <c r="G239" s="19">
        <f>[1]!Tabela2[[#This Row],[VOL.]]*[1]!Tabela2[[#This Row],[UNID.]]</f>
        <v>0</v>
      </c>
    </row>
    <row r="240" spans="1:7" x14ac:dyDescent="0.25">
      <c r="A240" s="9">
        <v>1700</v>
      </c>
      <c r="B240" s="12" t="s">
        <v>463</v>
      </c>
      <c r="C240" s="16" t="s">
        <v>613</v>
      </c>
      <c r="D240" s="9" t="s">
        <v>617</v>
      </c>
      <c r="E240" s="13"/>
      <c r="F240" s="13">
        <v>32</v>
      </c>
      <c r="G240" s="19">
        <f>[1]!Tabela2[[#This Row],[VOL.]]*[1]!Tabela2[[#This Row],[UNID.]]</f>
        <v>0</v>
      </c>
    </row>
    <row r="241" spans="1:7" hidden="1" x14ac:dyDescent="0.25">
      <c r="A241" s="9">
        <v>349</v>
      </c>
      <c r="B241" s="12" t="s">
        <v>464</v>
      </c>
      <c r="C241" s="16" t="s">
        <v>357</v>
      </c>
      <c r="D241" s="9" t="s">
        <v>610</v>
      </c>
      <c r="E241" s="13">
        <v>0</v>
      </c>
      <c r="F241" s="13">
        <v>32</v>
      </c>
      <c r="G241" s="19">
        <f>[1]!Tabela2[[#This Row],[VOL.]]*[1]!Tabela2[[#This Row],[UNID.]]</f>
        <v>0</v>
      </c>
    </row>
    <row r="242" spans="1:7" x14ac:dyDescent="0.25">
      <c r="A242" s="9">
        <v>350</v>
      </c>
      <c r="B242" s="12" t="s">
        <v>465</v>
      </c>
      <c r="C242" s="16" t="s">
        <v>615</v>
      </c>
      <c r="D242" s="9" t="s">
        <v>610</v>
      </c>
      <c r="E242" s="13">
        <v>0</v>
      </c>
      <c r="F242" s="13">
        <v>32</v>
      </c>
      <c r="G242" s="19">
        <f>[1]!Tabela2[[#This Row],[VOL.]]*[1]!Tabela2[[#This Row],[UNID.]]</f>
        <v>0</v>
      </c>
    </row>
    <row r="243" spans="1:7" x14ac:dyDescent="0.25">
      <c r="A243" s="9">
        <v>351</v>
      </c>
      <c r="B243" s="12" t="s">
        <v>465</v>
      </c>
      <c r="C243" s="16" t="s">
        <v>622</v>
      </c>
      <c r="D243" s="9" t="s">
        <v>610</v>
      </c>
      <c r="E243" s="13">
        <v>0</v>
      </c>
      <c r="F243" s="13"/>
      <c r="G243" s="19">
        <f>[1]!Tabela2[[#This Row],[VOL.]]*[1]!Tabela2[[#This Row],[UNID.]]</f>
        <v>0</v>
      </c>
    </row>
    <row r="244" spans="1:7" x14ac:dyDescent="0.25">
      <c r="A244" s="9">
        <v>352</v>
      </c>
      <c r="B244" s="12" t="s">
        <v>465</v>
      </c>
      <c r="C244" s="16" t="s">
        <v>358</v>
      </c>
      <c r="D244" s="9" t="s">
        <v>610</v>
      </c>
      <c r="E244" s="13">
        <v>0</v>
      </c>
      <c r="F244" s="13"/>
      <c r="G244" s="19">
        <f>[1]!Tabela2[[#This Row],[VOL.]]*[1]!Tabela2[[#This Row],[UNID.]]</f>
        <v>0</v>
      </c>
    </row>
    <row r="245" spans="1:7" x14ac:dyDescent="0.25">
      <c r="A245" s="9">
        <v>353</v>
      </c>
      <c r="B245" s="12" t="s">
        <v>465</v>
      </c>
      <c r="C245" s="16" t="s">
        <v>616</v>
      </c>
      <c r="D245" s="9" t="s">
        <v>610</v>
      </c>
      <c r="E245" s="13">
        <v>0</v>
      </c>
      <c r="F245" s="13"/>
      <c r="G245" s="19">
        <f>[1]!Tabela2[[#This Row],[VOL.]]*[1]!Tabela2[[#This Row],[UNID.]]</f>
        <v>0</v>
      </c>
    </row>
    <row r="246" spans="1:7" x14ac:dyDescent="0.25">
      <c r="A246" s="9">
        <v>354</v>
      </c>
      <c r="B246" s="12" t="s">
        <v>465</v>
      </c>
      <c r="C246" s="16" t="s">
        <v>359</v>
      </c>
      <c r="D246" s="9" t="s">
        <v>610</v>
      </c>
      <c r="E246" s="13">
        <v>0</v>
      </c>
      <c r="F246" s="13"/>
      <c r="G246" s="19">
        <f>[1]!Tabela2[[#This Row],[VOL.]]*[1]!Tabela2[[#This Row],[UNID.]]</f>
        <v>0</v>
      </c>
    </row>
    <row r="247" spans="1:7" x14ac:dyDescent="0.25">
      <c r="A247" s="9">
        <v>355</v>
      </c>
      <c r="B247" s="12" t="s">
        <v>465</v>
      </c>
      <c r="C247" s="16" t="s">
        <v>618</v>
      </c>
      <c r="D247" s="9" t="s">
        <v>610</v>
      </c>
      <c r="E247" s="13">
        <v>0</v>
      </c>
      <c r="F247" s="13"/>
      <c r="G247" s="19">
        <f>[1]!Tabela2[[#This Row],[VOL.]]*[1]!Tabela2[[#This Row],[UNID.]]</f>
        <v>0</v>
      </c>
    </row>
    <row r="248" spans="1:7" x14ac:dyDescent="0.25">
      <c r="A248" s="9">
        <v>356</v>
      </c>
      <c r="B248" s="12" t="s">
        <v>465</v>
      </c>
      <c r="C248" s="16" t="s">
        <v>360</v>
      </c>
      <c r="D248" s="9" t="s">
        <v>610</v>
      </c>
      <c r="E248" s="13">
        <v>0</v>
      </c>
      <c r="F248" s="13"/>
      <c r="G248" s="19">
        <f>[1]!Tabela2[[#This Row],[VOL.]]*[1]!Tabela2[[#This Row],[UNID.]]</f>
        <v>0</v>
      </c>
    </row>
    <row r="249" spans="1:7" hidden="1" x14ac:dyDescent="0.25">
      <c r="A249" s="9">
        <v>359</v>
      </c>
      <c r="B249" s="12" t="s">
        <v>506</v>
      </c>
      <c r="C249" s="16" t="s">
        <v>609</v>
      </c>
      <c r="D249" s="9" t="s">
        <v>600</v>
      </c>
      <c r="E249" s="13">
        <v>0</v>
      </c>
      <c r="F249" s="13">
        <v>36</v>
      </c>
      <c r="G249" s="19">
        <f>[1]!Tabela2[[#This Row],[VOL.]]*[1]!Tabela2[[#This Row],[UNID.]]</f>
        <v>0</v>
      </c>
    </row>
    <row r="250" spans="1:7" hidden="1" x14ac:dyDescent="0.25">
      <c r="A250" s="9">
        <v>414</v>
      </c>
      <c r="B250" s="12" t="s">
        <v>565</v>
      </c>
      <c r="C250" s="16"/>
      <c r="D250" s="9"/>
      <c r="E250" s="13">
        <v>0</v>
      </c>
      <c r="F250" s="13">
        <v>110</v>
      </c>
      <c r="G250" s="19">
        <f>[1]!Tabela2[[#This Row],[VOL.]]*[1]!Tabela2[[#This Row],[UNID.]]</f>
        <v>0</v>
      </c>
    </row>
    <row r="251" spans="1:7" hidden="1" x14ac:dyDescent="0.25">
      <c r="A251" s="9">
        <v>416</v>
      </c>
      <c r="B251" s="12" t="s">
        <v>566</v>
      </c>
      <c r="C251" s="16"/>
      <c r="D251" s="9"/>
      <c r="E251" s="13">
        <v>0</v>
      </c>
      <c r="F251" s="13">
        <v>100</v>
      </c>
      <c r="G251" s="19">
        <f>[1]!Tabela2[[#This Row],[VOL.]]*[1]!Tabela2[[#This Row],[UNID.]]</f>
        <v>0</v>
      </c>
    </row>
    <row r="252" spans="1:7" hidden="1" x14ac:dyDescent="0.25">
      <c r="A252" s="9">
        <v>417</v>
      </c>
      <c r="B252" s="12" t="s">
        <v>567</v>
      </c>
      <c r="C252" s="16"/>
      <c r="D252" s="9"/>
      <c r="E252" s="13">
        <v>0</v>
      </c>
      <c r="F252" s="13">
        <v>86</v>
      </c>
      <c r="G252" s="19">
        <f>[1]!Tabela2[[#This Row],[VOL.]]*[1]!Tabela2[[#This Row],[UNID.]]</f>
        <v>0</v>
      </c>
    </row>
    <row r="253" spans="1:7" x14ac:dyDescent="0.25">
      <c r="A253" s="9">
        <v>418</v>
      </c>
      <c r="B253" s="12" t="s">
        <v>568</v>
      </c>
      <c r="C253" s="16"/>
      <c r="D253" s="9"/>
      <c r="E253" s="13">
        <v>0</v>
      </c>
      <c r="F253" s="13">
        <v>90</v>
      </c>
      <c r="G253" s="19">
        <f>[1]!Tabela2[[#This Row],[VOL.]]*[1]!Tabela2[[#This Row],[UNID.]]</f>
        <v>0</v>
      </c>
    </row>
    <row r="254" spans="1:7" hidden="1" x14ac:dyDescent="0.25">
      <c r="A254" s="9">
        <v>419</v>
      </c>
      <c r="B254" s="12" t="s">
        <v>569</v>
      </c>
      <c r="C254" s="16"/>
      <c r="D254" s="9"/>
      <c r="E254" s="13">
        <v>0</v>
      </c>
      <c r="F254" s="13">
        <v>70</v>
      </c>
      <c r="G254" s="19">
        <f>[1]!Tabela2[[#This Row],[VOL.]]*[1]!Tabela2[[#This Row],[UNID.]]</f>
        <v>0</v>
      </c>
    </row>
    <row r="255" spans="1:7" hidden="1" x14ac:dyDescent="0.25">
      <c r="A255" s="9">
        <v>420</v>
      </c>
      <c r="B255" s="12" t="s">
        <v>570</v>
      </c>
      <c r="C255" s="16"/>
      <c r="D255" s="9"/>
      <c r="E255" s="13">
        <v>0</v>
      </c>
      <c r="F255" s="13">
        <v>66</v>
      </c>
      <c r="G255" s="19">
        <f>[1]!Tabela2[[#This Row],[VOL.]]*[1]!Tabela2[[#This Row],[UNID.]]</f>
        <v>0</v>
      </c>
    </row>
    <row r="256" spans="1:7" hidden="1" x14ac:dyDescent="0.25">
      <c r="A256" s="9">
        <v>421</v>
      </c>
      <c r="B256" s="12" t="s">
        <v>571</v>
      </c>
      <c r="C256" s="16"/>
      <c r="D256" s="9"/>
      <c r="E256" s="13">
        <v>0</v>
      </c>
      <c r="F256" s="13">
        <v>60</v>
      </c>
      <c r="G256" s="19">
        <f>[1]!Tabela2[[#This Row],[VOL.]]*[1]!Tabela2[[#This Row],[UNID.]]</f>
        <v>0</v>
      </c>
    </row>
    <row r="257" spans="1:7" x14ac:dyDescent="0.25">
      <c r="A257" s="9">
        <v>422</v>
      </c>
      <c r="B257" s="12" t="s">
        <v>572</v>
      </c>
      <c r="C257" s="16"/>
      <c r="D257" s="9"/>
      <c r="E257" s="13">
        <v>0</v>
      </c>
      <c r="F257" s="13">
        <v>70</v>
      </c>
      <c r="G257" s="19">
        <f>[1]!Tabela2[[#This Row],[VOL.]]*[1]!Tabela2[[#This Row],[UNID.]]</f>
        <v>0</v>
      </c>
    </row>
    <row r="258" spans="1:7" hidden="1" x14ac:dyDescent="0.25">
      <c r="A258" s="9">
        <v>423</v>
      </c>
      <c r="B258" s="12" t="s">
        <v>573</v>
      </c>
      <c r="C258" s="16"/>
      <c r="D258" s="9"/>
      <c r="E258" s="13">
        <v>2</v>
      </c>
      <c r="F258" s="13">
        <v>52</v>
      </c>
      <c r="G258" s="19">
        <f>[1]!Tabela2[[#This Row],[VOL.]]*[1]!Tabela2[[#This Row],[UNID.]]</f>
        <v>0</v>
      </c>
    </row>
    <row r="259" spans="1:7" hidden="1" x14ac:dyDescent="0.25">
      <c r="A259" s="9">
        <v>424</v>
      </c>
      <c r="B259" s="12" t="s">
        <v>574</v>
      </c>
      <c r="C259" s="16"/>
      <c r="D259" s="9"/>
      <c r="E259" s="13">
        <v>0</v>
      </c>
      <c r="F259" s="13">
        <v>48</v>
      </c>
      <c r="G259" s="19">
        <f>[1]!Tabela2[[#This Row],[VOL.]]*[1]!Tabela2[[#This Row],[UNID.]]</f>
        <v>0</v>
      </c>
    </row>
    <row r="260" spans="1:7" hidden="1" x14ac:dyDescent="0.25">
      <c r="A260" s="9">
        <v>425</v>
      </c>
      <c r="B260" s="12" t="s">
        <v>575</v>
      </c>
      <c r="C260" s="16"/>
      <c r="D260" s="9"/>
      <c r="E260" s="13">
        <v>0</v>
      </c>
      <c r="F260" s="13">
        <v>44</v>
      </c>
      <c r="G260" s="19">
        <f>[1]!Tabela2[[#This Row],[VOL.]]*[1]!Tabela2[[#This Row],[UNID.]]</f>
        <v>104</v>
      </c>
    </row>
    <row r="261" spans="1:7" x14ac:dyDescent="0.25">
      <c r="A261" s="9">
        <v>426</v>
      </c>
      <c r="B261" s="12" t="s">
        <v>576</v>
      </c>
      <c r="C261" s="16"/>
      <c r="D261" s="9"/>
      <c r="E261" s="13">
        <v>0</v>
      </c>
      <c r="F261" s="13">
        <v>60</v>
      </c>
      <c r="G261" s="19">
        <f>[1]!Tabela2[[#This Row],[VOL.]]*[1]!Tabela2[[#This Row],[UNID.]]</f>
        <v>0</v>
      </c>
    </row>
    <row r="262" spans="1:7" hidden="1" x14ac:dyDescent="0.25">
      <c r="A262" s="9">
        <v>427</v>
      </c>
      <c r="B262" s="12" t="s">
        <v>577</v>
      </c>
      <c r="C262" s="16"/>
      <c r="D262" s="9"/>
      <c r="E262" s="13">
        <v>0</v>
      </c>
      <c r="F262" s="13">
        <v>42</v>
      </c>
      <c r="G262" s="19">
        <f>[1]!Tabela2[[#This Row],[VOL.]]*[1]!Tabela2[[#This Row],[UNID.]]</f>
        <v>0</v>
      </c>
    </row>
    <row r="263" spans="1:7" hidden="1" x14ac:dyDescent="0.25">
      <c r="A263" s="9">
        <v>428</v>
      </c>
      <c r="B263" s="12" t="s">
        <v>578</v>
      </c>
      <c r="C263" s="16"/>
      <c r="D263" s="9"/>
      <c r="E263" s="13">
        <v>0</v>
      </c>
      <c r="F263" s="13">
        <v>32</v>
      </c>
      <c r="G263" s="19">
        <f>[1]!Tabela2[[#This Row],[VOL.]]*[1]!Tabela2[[#This Row],[UNID.]]</f>
        <v>0</v>
      </c>
    </row>
    <row r="264" spans="1:7" hidden="1" x14ac:dyDescent="0.25">
      <c r="A264" s="11">
        <v>429</v>
      </c>
      <c r="B264" s="12" t="s">
        <v>579</v>
      </c>
      <c r="C264" s="16"/>
      <c r="D264" s="9"/>
      <c r="E264" s="13">
        <v>0</v>
      </c>
      <c r="F264" s="13">
        <v>28</v>
      </c>
      <c r="G264" s="19">
        <f>[1]!Tabela2[[#This Row],[VOL.]]*[1]!Tabela2[[#This Row],[UNID.]]</f>
        <v>0</v>
      </c>
    </row>
    <row r="265" spans="1:7" x14ac:dyDescent="0.25">
      <c r="A265" s="9">
        <v>430</v>
      </c>
      <c r="B265" s="12" t="s">
        <v>580</v>
      </c>
      <c r="C265" s="16"/>
      <c r="D265" s="9"/>
      <c r="E265" s="13">
        <v>0</v>
      </c>
      <c r="F265" s="13">
        <v>35</v>
      </c>
      <c r="G265" s="19">
        <f>[1]!Tabela2[[#This Row],[VOL.]]*[1]!Tabela2[[#This Row],[UNID.]]</f>
        <v>0</v>
      </c>
    </row>
    <row r="266" spans="1:7" hidden="1" x14ac:dyDescent="0.25">
      <c r="A266" s="9">
        <v>434</v>
      </c>
      <c r="B266" s="13" t="s">
        <v>581</v>
      </c>
      <c r="C266" s="16"/>
      <c r="D266" s="9" t="s">
        <v>610</v>
      </c>
      <c r="E266" s="13">
        <v>141</v>
      </c>
      <c r="F266" s="13">
        <v>150</v>
      </c>
      <c r="G266" s="19">
        <f>[1]!Tabela2[[#This Row],[VOL.]]*[1]!Tabela2[[#This Row],[UNID.]]</f>
        <v>0</v>
      </c>
    </row>
    <row r="267" spans="1:7" hidden="1" x14ac:dyDescent="0.25">
      <c r="A267" s="9">
        <v>474</v>
      </c>
      <c r="B267" s="12" t="s">
        <v>582</v>
      </c>
      <c r="C267" s="16"/>
      <c r="D267" s="9"/>
      <c r="E267" s="13">
        <v>0</v>
      </c>
      <c r="F267" s="13">
        <v>70</v>
      </c>
      <c r="G267" s="19">
        <f>[1]!Tabela2[[#This Row],[VOL.]]*[1]!Tabela2[[#This Row],[UNID.]]</f>
        <v>0</v>
      </c>
    </row>
    <row r="268" spans="1:7" x14ac:dyDescent="0.25">
      <c r="A268" s="9">
        <v>475</v>
      </c>
      <c r="B268" s="12" t="s">
        <v>583</v>
      </c>
      <c r="C268" s="16"/>
      <c r="D268" s="9"/>
      <c r="E268" s="13">
        <v>0</v>
      </c>
      <c r="F268" s="13">
        <v>80</v>
      </c>
      <c r="G268" s="19">
        <f>[1]!Tabela2[[#This Row],[VOL.]]*[1]!Tabela2[[#This Row],[UNID.]]</f>
        <v>21150</v>
      </c>
    </row>
    <row r="269" spans="1:7" hidden="1" x14ac:dyDescent="0.25">
      <c r="A269" s="9">
        <v>476</v>
      </c>
      <c r="B269" s="12" t="s">
        <v>584</v>
      </c>
      <c r="C269" s="16"/>
      <c r="D269" s="9"/>
      <c r="E269" s="13">
        <v>0</v>
      </c>
      <c r="F269" s="13">
        <v>86</v>
      </c>
      <c r="G269" s="19">
        <f>[1]!Tabela2[[#This Row],[VOL.]]*[1]!Tabela2[[#This Row],[UNID.]]</f>
        <v>0</v>
      </c>
    </row>
    <row r="270" spans="1:7" x14ac:dyDescent="0.25">
      <c r="A270" s="9">
        <v>477</v>
      </c>
      <c r="B270" s="12" t="s">
        <v>585</v>
      </c>
      <c r="C270" s="16"/>
      <c r="D270" s="9"/>
      <c r="E270" s="13">
        <v>0</v>
      </c>
      <c r="F270" s="13">
        <v>85</v>
      </c>
      <c r="G270" s="19">
        <f>[1]!Tabela2[[#This Row],[VOL.]]*[1]!Tabela2[[#This Row],[UNID.]]</f>
        <v>0</v>
      </c>
    </row>
    <row r="271" spans="1:7" hidden="1" x14ac:dyDescent="0.25">
      <c r="A271" s="9">
        <v>478</v>
      </c>
      <c r="B271" s="12" t="s">
        <v>586</v>
      </c>
      <c r="C271" s="16"/>
      <c r="D271" s="9"/>
      <c r="E271" s="13">
        <v>0</v>
      </c>
      <c r="F271" s="13">
        <v>90</v>
      </c>
      <c r="G271" s="19">
        <f>[1]!Tabela2[[#This Row],[VOL.]]*[1]!Tabela2[[#This Row],[UNID.]]</f>
        <v>0</v>
      </c>
    </row>
    <row r="272" spans="1:7" hidden="1" x14ac:dyDescent="0.25">
      <c r="A272" s="9">
        <v>479</v>
      </c>
      <c r="B272" s="12" t="s">
        <v>587</v>
      </c>
      <c r="C272" s="16"/>
      <c r="D272" s="9"/>
      <c r="E272" s="13">
        <v>0</v>
      </c>
      <c r="F272" s="13">
        <v>80</v>
      </c>
      <c r="G272" s="19">
        <f>[1]!Tabela2[[#This Row],[VOL.]]*[1]!Tabela2[[#This Row],[UNID.]]</f>
        <v>0</v>
      </c>
    </row>
    <row r="273" spans="1:7" hidden="1" x14ac:dyDescent="0.25">
      <c r="A273" s="9">
        <v>480</v>
      </c>
      <c r="B273" s="12" t="s">
        <v>588</v>
      </c>
      <c r="C273" s="16"/>
      <c r="D273" s="9" t="s">
        <v>647</v>
      </c>
      <c r="E273" s="13">
        <v>1</v>
      </c>
      <c r="F273" s="13">
        <v>110</v>
      </c>
      <c r="G273" s="19">
        <f>[1]!Tabela2[[#This Row],[VOL.]]*[1]!Tabela2[[#This Row],[UNID.]]</f>
        <v>0</v>
      </c>
    </row>
    <row r="274" spans="1:7" hidden="1" x14ac:dyDescent="0.25">
      <c r="A274" s="9">
        <v>481</v>
      </c>
      <c r="B274" s="12" t="s">
        <v>589</v>
      </c>
      <c r="C274" s="16"/>
      <c r="D274" s="9"/>
      <c r="E274" s="13">
        <v>0</v>
      </c>
      <c r="F274" s="13">
        <v>110</v>
      </c>
      <c r="G274" s="19">
        <f>[1]!Tabela2[[#This Row],[VOL.]]*[1]!Tabela2[[#This Row],[UNID.]]</f>
        <v>0</v>
      </c>
    </row>
    <row r="275" spans="1:7" hidden="1" x14ac:dyDescent="0.25">
      <c r="A275" s="9">
        <v>584</v>
      </c>
      <c r="B275" s="12" t="s">
        <v>536</v>
      </c>
      <c r="C275" s="16"/>
      <c r="D275" s="9" t="s">
        <v>635</v>
      </c>
      <c r="E275" s="13">
        <v>0</v>
      </c>
      <c r="F275" s="13">
        <v>110</v>
      </c>
      <c r="G275" s="19">
        <f>[1]!Tabela2[[#This Row],[VOL.]]*[1]!Tabela2[[#This Row],[UNID.]]</f>
        <v>110</v>
      </c>
    </row>
    <row r="276" spans="1:7" x14ac:dyDescent="0.25">
      <c r="A276" s="9">
        <v>585</v>
      </c>
      <c r="B276" s="12" t="s">
        <v>588</v>
      </c>
      <c r="C276" s="16"/>
      <c r="D276" s="9" t="s">
        <v>635</v>
      </c>
      <c r="E276" s="13">
        <v>0</v>
      </c>
      <c r="F276" s="13">
        <v>110</v>
      </c>
      <c r="G276" s="19">
        <f>[1]!Tabela2[[#This Row],[VOL.]]*[1]!Tabela2[[#This Row],[UNID.]]</f>
        <v>0</v>
      </c>
    </row>
    <row r="277" spans="1:7" hidden="1" x14ac:dyDescent="0.25">
      <c r="A277" s="9">
        <v>586</v>
      </c>
      <c r="B277" s="12" t="s">
        <v>537</v>
      </c>
      <c r="C277" s="16"/>
      <c r="D277" s="9" t="s">
        <v>635</v>
      </c>
      <c r="E277" s="13">
        <v>0</v>
      </c>
      <c r="F277" s="13">
        <v>80</v>
      </c>
      <c r="G277" s="19">
        <f>[1]!Tabela2[[#This Row],[VOL.]]*[1]!Tabela2[[#This Row],[UNID.]]</f>
        <v>0</v>
      </c>
    </row>
    <row r="278" spans="1:7" hidden="1" x14ac:dyDescent="0.25">
      <c r="A278" s="9">
        <v>587</v>
      </c>
      <c r="B278" s="12" t="s">
        <v>538</v>
      </c>
      <c r="C278" s="16"/>
      <c r="D278" s="9" t="s">
        <v>635</v>
      </c>
      <c r="E278" s="13">
        <v>0</v>
      </c>
      <c r="F278" s="13">
        <v>80</v>
      </c>
      <c r="G278" s="19">
        <f>[1]!Tabela2[[#This Row],[VOL.]]*[1]!Tabela2[[#This Row],[UNID.]]</f>
        <v>0</v>
      </c>
    </row>
    <row r="279" spans="1:7" x14ac:dyDescent="0.25">
      <c r="A279" s="9">
        <v>588</v>
      </c>
      <c r="B279" s="12" t="s">
        <v>539</v>
      </c>
      <c r="C279" s="16"/>
      <c r="D279" s="9" t="s">
        <v>635</v>
      </c>
      <c r="E279" s="13">
        <v>0</v>
      </c>
      <c r="F279" s="13">
        <v>50</v>
      </c>
      <c r="G279" s="19">
        <f>[1]!Tabela2[[#This Row],[VOL.]]*[1]!Tabela2[[#This Row],[UNID.]]</f>
        <v>0</v>
      </c>
    </row>
    <row r="280" spans="1:7" hidden="1" x14ac:dyDescent="0.25">
      <c r="A280" s="9">
        <v>589</v>
      </c>
      <c r="B280" s="12" t="s">
        <v>544</v>
      </c>
      <c r="C280" s="16"/>
      <c r="D280" s="9" t="s">
        <v>635</v>
      </c>
      <c r="E280" s="13">
        <v>0</v>
      </c>
      <c r="F280" s="13">
        <v>90</v>
      </c>
      <c r="G280" s="19">
        <f>[1]!Tabela2[[#This Row],[VOL.]]*[1]!Tabela2[[#This Row],[UNID.]]</f>
        <v>0</v>
      </c>
    </row>
    <row r="281" spans="1:7" x14ac:dyDescent="0.25">
      <c r="A281" s="9">
        <v>590</v>
      </c>
      <c r="B281" s="12" t="s">
        <v>586</v>
      </c>
      <c r="C281" s="16"/>
      <c r="D281" s="9" t="s">
        <v>635</v>
      </c>
      <c r="E281" s="13">
        <v>0</v>
      </c>
      <c r="F281" s="13">
        <v>90</v>
      </c>
      <c r="G281" s="19">
        <f>[1]!Tabela2[[#This Row],[VOL.]]*[1]!Tabela2[[#This Row],[UNID.]]</f>
        <v>0</v>
      </c>
    </row>
    <row r="282" spans="1:7" hidden="1" x14ac:dyDescent="0.25">
      <c r="A282" s="9">
        <v>591</v>
      </c>
      <c r="B282" s="12" t="s">
        <v>545</v>
      </c>
      <c r="C282" s="16"/>
      <c r="D282" s="9" t="s">
        <v>635</v>
      </c>
      <c r="E282" s="13">
        <v>0</v>
      </c>
      <c r="F282" s="13">
        <v>75</v>
      </c>
      <c r="G282" s="19">
        <f>[1]!Tabela2[[#This Row],[VOL.]]*[1]!Tabela2[[#This Row],[UNID.]]</f>
        <v>0</v>
      </c>
    </row>
    <row r="283" spans="1:7" hidden="1" x14ac:dyDescent="0.25">
      <c r="A283" s="9">
        <v>592</v>
      </c>
      <c r="B283" s="12" t="s">
        <v>546</v>
      </c>
      <c r="C283" s="16"/>
      <c r="D283" s="9" t="s">
        <v>635</v>
      </c>
      <c r="E283" s="13">
        <v>0</v>
      </c>
      <c r="F283" s="13">
        <v>70</v>
      </c>
      <c r="G283" s="19">
        <f>[1]!Tabela2[[#This Row],[VOL.]]*[1]!Tabela2[[#This Row],[UNID.]]</f>
        <v>0</v>
      </c>
    </row>
    <row r="284" spans="1:7" hidden="1" x14ac:dyDescent="0.25">
      <c r="A284" s="9">
        <v>593</v>
      </c>
      <c r="B284" s="12" t="s">
        <v>547</v>
      </c>
      <c r="C284" s="16"/>
      <c r="D284" s="9" t="s">
        <v>635</v>
      </c>
      <c r="E284" s="13">
        <v>0</v>
      </c>
      <c r="F284" s="13">
        <v>40</v>
      </c>
      <c r="G284" s="19">
        <f>[1]!Tabela2[[#This Row],[VOL.]]*[1]!Tabela2[[#This Row],[UNID.]]</f>
        <v>0</v>
      </c>
    </row>
    <row r="285" spans="1:7" x14ac:dyDescent="0.25">
      <c r="A285" s="9">
        <v>594</v>
      </c>
      <c r="B285" s="12" t="s">
        <v>532</v>
      </c>
      <c r="C285" s="16"/>
      <c r="D285" s="9" t="s">
        <v>635</v>
      </c>
      <c r="E285" s="13">
        <v>0</v>
      </c>
      <c r="F285" s="13">
        <v>110</v>
      </c>
      <c r="G285" s="19">
        <f>[1]!Tabela2[[#This Row],[VOL.]]*[1]!Tabela2[[#This Row],[UNID.]]</f>
        <v>0</v>
      </c>
    </row>
    <row r="286" spans="1:7" x14ac:dyDescent="0.25">
      <c r="A286" s="9">
        <v>595</v>
      </c>
      <c r="B286" s="12" t="s">
        <v>589</v>
      </c>
      <c r="C286" s="16"/>
      <c r="D286" s="9" t="s">
        <v>635</v>
      </c>
      <c r="E286" s="13">
        <v>0</v>
      </c>
      <c r="F286" s="13">
        <v>85</v>
      </c>
      <c r="G286" s="19">
        <f>[1]!Tabela2[[#This Row],[VOL.]]*[1]!Tabela2[[#This Row],[UNID.]]</f>
        <v>0</v>
      </c>
    </row>
    <row r="287" spans="1:7" x14ac:dyDescent="0.25">
      <c r="A287" s="9">
        <v>596</v>
      </c>
      <c r="B287" s="12" t="s">
        <v>533</v>
      </c>
      <c r="C287" s="16"/>
      <c r="D287" s="9" t="s">
        <v>635</v>
      </c>
      <c r="E287" s="13">
        <v>0</v>
      </c>
      <c r="F287" s="13">
        <v>80</v>
      </c>
      <c r="G287" s="19">
        <f>[1]!Tabela2[[#This Row],[VOL.]]*[1]!Tabela2[[#This Row],[UNID.]]</f>
        <v>0</v>
      </c>
    </row>
    <row r="288" spans="1:7" x14ac:dyDescent="0.25">
      <c r="A288" s="9">
        <v>597</v>
      </c>
      <c r="B288" s="12" t="s">
        <v>534</v>
      </c>
      <c r="C288" s="16"/>
      <c r="D288" s="9" t="s">
        <v>635</v>
      </c>
      <c r="E288" s="13">
        <v>0</v>
      </c>
      <c r="F288" s="13">
        <v>70</v>
      </c>
      <c r="G288" s="19">
        <f>[1]!Tabela2[[#This Row],[VOL.]]*[1]!Tabela2[[#This Row],[UNID.]]</f>
        <v>0</v>
      </c>
    </row>
    <row r="289" spans="1:7" x14ac:dyDescent="0.25">
      <c r="A289" s="9">
        <v>598</v>
      </c>
      <c r="B289" s="12" t="s">
        <v>535</v>
      </c>
      <c r="C289" s="16"/>
      <c r="D289" s="9" t="s">
        <v>635</v>
      </c>
      <c r="E289" s="13">
        <v>0</v>
      </c>
      <c r="F289" s="13">
        <v>45</v>
      </c>
      <c r="G289" s="19">
        <f>[1]!Tabela2[[#This Row],[VOL.]]*[1]!Tabela2[[#This Row],[UNID.]]</f>
        <v>0</v>
      </c>
    </row>
    <row r="290" spans="1:7" x14ac:dyDescent="0.25">
      <c r="A290" s="9">
        <v>599</v>
      </c>
      <c r="B290" s="12" t="s">
        <v>540</v>
      </c>
      <c r="C290" s="16"/>
      <c r="D290" s="9" t="s">
        <v>635</v>
      </c>
      <c r="E290" s="13">
        <v>0</v>
      </c>
      <c r="F290" s="13">
        <v>90</v>
      </c>
      <c r="G290" s="19">
        <f>[1]!Tabela2[[#This Row],[VOL.]]*[1]!Tabela2[[#This Row],[UNID.]]</f>
        <v>0</v>
      </c>
    </row>
    <row r="291" spans="1:7" x14ac:dyDescent="0.25">
      <c r="A291" s="9">
        <v>600</v>
      </c>
      <c r="B291" s="12" t="s">
        <v>587</v>
      </c>
      <c r="C291" s="16"/>
      <c r="D291" s="9" t="s">
        <v>635</v>
      </c>
      <c r="E291" s="13">
        <v>0</v>
      </c>
      <c r="F291" s="13">
        <v>80</v>
      </c>
      <c r="G291" s="19">
        <f>[1]!Tabela2[[#This Row],[VOL.]]*[1]!Tabela2[[#This Row],[UNID.]]</f>
        <v>0</v>
      </c>
    </row>
    <row r="292" spans="1:7" x14ac:dyDescent="0.25">
      <c r="A292" s="9">
        <v>601</v>
      </c>
      <c r="B292" s="12" t="s">
        <v>541</v>
      </c>
      <c r="C292" s="16"/>
      <c r="D292" s="9" t="s">
        <v>635</v>
      </c>
      <c r="E292" s="13">
        <v>0</v>
      </c>
      <c r="F292" s="13">
        <v>70</v>
      </c>
      <c r="G292" s="19">
        <f>[1]!Tabela2[[#This Row],[VOL.]]*[1]!Tabela2[[#This Row],[UNID.]]</f>
        <v>0</v>
      </c>
    </row>
    <row r="293" spans="1:7" x14ac:dyDescent="0.25">
      <c r="A293" s="9">
        <v>602</v>
      </c>
      <c r="B293" s="12" t="s">
        <v>542</v>
      </c>
      <c r="C293" s="16"/>
      <c r="D293" s="9" t="s">
        <v>635</v>
      </c>
      <c r="E293" s="13">
        <v>0</v>
      </c>
      <c r="F293" s="13">
        <v>60</v>
      </c>
      <c r="G293" s="19">
        <f>[1]!Tabela2[[#This Row],[VOL.]]*[1]!Tabela2[[#This Row],[UNID.]]</f>
        <v>0</v>
      </c>
    </row>
    <row r="294" spans="1:7" x14ac:dyDescent="0.25">
      <c r="A294" s="9">
        <v>603</v>
      </c>
      <c r="B294" s="12" t="s">
        <v>543</v>
      </c>
      <c r="C294" s="16"/>
      <c r="D294" s="9" t="s">
        <v>635</v>
      </c>
      <c r="E294" s="13">
        <v>0</v>
      </c>
      <c r="F294" s="13">
        <v>35</v>
      </c>
      <c r="G294" s="19">
        <f>[1]!Tabela2[[#This Row],[VOL.]]*[1]!Tabela2[[#This Row],[UNID.]]</f>
        <v>0</v>
      </c>
    </row>
    <row r="295" spans="1:7" x14ac:dyDescent="0.25">
      <c r="A295" s="9">
        <v>604</v>
      </c>
      <c r="B295" s="12" t="s">
        <v>565</v>
      </c>
      <c r="C295" s="16"/>
      <c r="D295" s="9" t="s">
        <v>635</v>
      </c>
      <c r="E295" s="13">
        <v>0</v>
      </c>
      <c r="F295" s="13">
        <v>110</v>
      </c>
      <c r="G295" s="19">
        <f>[1]!Tabela2[[#This Row],[VOL.]]*[1]!Tabela2[[#This Row],[UNID.]]</f>
        <v>0</v>
      </c>
    </row>
    <row r="296" spans="1:7" x14ac:dyDescent="0.25">
      <c r="A296" s="9">
        <v>605</v>
      </c>
      <c r="B296" s="12" t="s">
        <v>584</v>
      </c>
      <c r="C296" s="16"/>
      <c r="D296" s="9" t="s">
        <v>635</v>
      </c>
      <c r="E296" s="13">
        <v>0</v>
      </c>
      <c r="F296" s="13">
        <v>110</v>
      </c>
      <c r="G296" s="19">
        <f>[1]!Tabela2[[#This Row],[VOL.]]*[1]!Tabela2[[#This Row],[UNID.]]</f>
        <v>0</v>
      </c>
    </row>
    <row r="297" spans="1:7" hidden="1" x14ac:dyDescent="0.25">
      <c r="A297" s="9">
        <v>606</v>
      </c>
      <c r="B297" s="12" t="s">
        <v>569</v>
      </c>
      <c r="C297" s="16"/>
      <c r="D297" s="9" t="s">
        <v>635</v>
      </c>
      <c r="E297" s="13">
        <v>0</v>
      </c>
      <c r="F297" s="13">
        <v>100</v>
      </c>
      <c r="G297" s="19">
        <f>[1]!Tabela2[[#This Row],[VOL.]]*[1]!Tabela2[[#This Row],[UNID.]]</f>
        <v>0</v>
      </c>
    </row>
    <row r="298" spans="1:7" hidden="1" x14ac:dyDescent="0.25">
      <c r="A298" s="9">
        <v>607</v>
      </c>
      <c r="B298" s="12" t="s">
        <v>573</v>
      </c>
      <c r="C298" s="16"/>
      <c r="D298" s="9" t="s">
        <v>635</v>
      </c>
      <c r="E298" s="13">
        <v>0</v>
      </c>
      <c r="F298" s="13">
        <v>52</v>
      </c>
      <c r="G298" s="19">
        <f>[1]!Tabela2[[#This Row],[VOL.]]*[1]!Tabela2[[#This Row],[UNID.]]</f>
        <v>0</v>
      </c>
    </row>
    <row r="299" spans="1:7" x14ac:dyDescent="0.25">
      <c r="A299" s="9">
        <v>608</v>
      </c>
      <c r="B299" s="12" t="s">
        <v>577</v>
      </c>
      <c r="C299" s="16"/>
      <c r="D299" s="9" t="s">
        <v>635</v>
      </c>
      <c r="E299" s="13">
        <v>0</v>
      </c>
      <c r="F299" s="13">
        <v>50</v>
      </c>
      <c r="G299" s="19">
        <f>[1]!Tabela2[[#This Row],[VOL.]]*[1]!Tabela2[[#This Row],[UNID.]]</f>
        <v>0</v>
      </c>
    </row>
    <row r="300" spans="1:7" hidden="1" x14ac:dyDescent="0.25">
      <c r="A300" s="9">
        <v>609</v>
      </c>
      <c r="B300" s="12" t="s">
        <v>567</v>
      </c>
      <c r="C300" s="16"/>
      <c r="D300" s="9" t="s">
        <v>635</v>
      </c>
      <c r="E300" s="13">
        <v>0</v>
      </c>
      <c r="F300" s="13">
        <v>86</v>
      </c>
      <c r="G300" s="19">
        <f>[1]!Tabela2[[#This Row],[VOL.]]*[1]!Tabela2[[#This Row],[UNID.]]</f>
        <v>0</v>
      </c>
    </row>
    <row r="301" spans="1:7" x14ac:dyDescent="0.25">
      <c r="A301" s="9">
        <v>610</v>
      </c>
      <c r="B301" s="12" t="s">
        <v>582</v>
      </c>
      <c r="C301" s="16"/>
      <c r="D301" s="9" t="s">
        <v>635</v>
      </c>
      <c r="E301" s="13">
        <v>0</v>
      </c>
      <c r="F301" s="13">
        <v>90</v>
      </c>
      <c r="G301" s="19">
        <f>[1]!Tabela2[[#This Row],[VOL.]]*[1]!Tabela2[[#This Row],[UNID.]]</f>
        <v>0</v>
      </c>
    </row>
    <row r="302" spans="1:7" hidden="1" x14ac:dyDescent="0.25">
      <c r="A302" s="9">
        <v>611</v>
      </c>
      <c r="B302" s="12" t="s">
        <v>571</v>
      </c>
      <c r="C302" s="16"/>
      <c r="D302" s="9" t="s">
        <v>635</v>
      </c>
      <c r="E302" s="13">
        <v>0</v>
      </c>
      <c r="F302" s="13">
        <v>70</v>
      </c>
      <c r="G302" s="19">
        <f>[1]!Tabela2[[#This Row],[VOL.]]*[1]!Tabela2[[#This Row],[UNID.]]</f>
        <v>0</v>
      </c>
    </row>
    <row r="303" spans="1:7" x14ac:dyDescent="0.25">
      <c r="A303" s="9">
        <v>612</v>
      </c>
      <c r="B303" s="12" t="s">
        <v>575</v>
      </c>
      <c r="C303" s="16"/>
      <c r="D303" s="9" t="s">
        <v>635</v>
      </c>
      <c r="E303" s="13">
        <v>0</v>
      </c>
      <c r="F303" s="13">
        <v>60</v>
      </c>
      <c r="G303" s="19">
        <f>[1]!Tabela2[[#This Row],[VOL.]]*[1]!Tabela2[[#This Row],[UNID.]]</f>
        <v>0</v>
      </c>
    </row>
    <row r="304" spans="1:7" hidden="1" x14ac:dyDescent="0.25">
      <c r="A304" s="9">
        <v>613</v>
      </c>
      <c r="B304" s="12" t="s">
        <v>579</v>
      </c>
      <c r="C304" s="16"/>
      <c r="D304" s="9" t="s">
        <v>635</v>
      </c>
      <c r="E304" s="13">
        <v>0</v>
      </c>
      <c r="F304" s="13">
        <v>32</v>
      </c>
      <c r="G304" s="19">
        <f>[1]!Tabela2[[#This Row],[VOL.]]*[1]!Tabela2[[#This Row],[UNID.]]</f>
        <v>0</v>
      </c>
    </row>
    <row r="305" spans="1:7" x14ac:dyDescent="0.25">
      <c r="A305" s="9">
        <v>614</v>
      </c>
      <c r="B305" s="12" t="s">
        <v>566</v>
      </c>
      <c r="C305" s="16"/>
      <c r="D305" s="9" t="s">
        <v>635</v>
      </c>
      <c r="E305" s="13">
        <v>0</v>
      </c>
      <c r="F305" s="13">
        <v>110</v>
      </c>
      <c r="G305" s="19">
        <f>[1]!Tabela2[[#This Row],[VOL.]]*[1]!Tabela2[[#This Row],[UNID.]]</f>
        <v>0</v>
      </c>
    </row>
    <row r="306" spans="1:7" x14ac:dyDescent="0.25">
      <c r="A306" s="9">
        <v>615</v>
      </c>
      <c r="B306" s="12" t="s">
        <v>585</v>
      </c>
      <c r="C306" s="16"/>
      <c r="D306" s="9" t="s">
        <v>635</v>
      </c>
      <c r="E306" s="13">
        <v>0</v>
      </c>
      <c r="F306" s="13">
        <v>85</v>
      </c>
      <c r="G306" s="19">
        <f>[1]!Tabela2[[#This Row],[VOL.]]*[1]!Tabela2[[#This Row],[UNID.]]</f>
        <v>0</v>
      </c>
    </row>
    <row r="307" spans="1:7" x14ac:dyDescent="0.25">
      <c r="A307" s="9">
        <v>616</v>
      </c>
      <c r="B307" s="12" t="s">
        <v>570</v>
      </c>
      <c r="C307" s="16"/>
      <c r="D307" s="9" t="s">
        <v>635</v>
      </c>
      <c r="E307" s="13">
        <v>0</v>
      </c>
      <c r="F307" s="13">
        <v>80</v>
      </c>
      <c r="G307" s="19">
        <f>[1]!Tabela2[[#This Row],[VOL.]]*[1]!Tabela2[[#This Row],[UNID.]]</f>
        <v>0</v>
      </c>
    </row>
    <row r="308" spans="1:7" x14ac:dyDescent="0.25">
      <c r="A308" s="9">
        <v>617</v>
      </c>
      <c r="B308" s="12" t="s">
        <v>574</v>
      </c>
      <c r="C308" s="16"/>
      <c r="D308" s="9" t="s">
        <v>635</v>
      </c>
      <c r="E308" s="13">
        <v>0</v>
      </c>
      <c r="F308" s="13">
        <v>70</v>
      </c>
      <c r="G308" s="19">
        <f>[1]!Tabela2[[#This Row],[VOL.]]*[1]!Tabela2[[#This Row],[UNID.]]</f>
        <v>0</v>
      </c>
    </row>
    <row r="309" spans="1:7" x14ac:dyDescent="0.25">
      <c r="A309" s="9">
        <v>618</v>
      </c>
      <c r="B309" s="12" t="s">
        <v>578</v>
      </c>
      <c r="C309" s="16"/>
      <c r="D309" s="9" t="s">
        <v>635</v>
      </c>
      <c r="E309" s="13">
        <v>0</v>
      </c>
      <c r="F309" s="13">
        <v>45</v>
      </c>
      <c r="G309" s="19">
        <f>[1]!Tabela2[[#This Row],[VOL.]]*[1]!Tabela2[[#This Row],[UNID.]]</f>
        <v>0</v>
      </c>
    </row>
    <row r="310" spans="1:7" x14ac:dyDescent="0.25">
      <c r="A310" s="9">
        <v>619</v>
      </c>
      <c r="B310" s="12" t="s">
        <v>568</v>
      </c>
      <c r="C310" s="16"/>
      <c r="D310" s="9" t="s">
        <v>635</v>
      </c>
      <c r="E310" s="13">
        <v>0</v>
      </c>
      <c r="F310" s="13">
        <v>90</v>
      </c>
      <c r="G310" s="19">
        <f>[1]!Tabela2[[#This Row],[VOL.]]*[1]!Tabela2[[#This Row],[UNID.]]</f>
        <v>0</v>
      </c>
    </row>
    <row r="311" spans="1:7" x14ac:dyDescent="0.25">
      <c r="A311" s="9">
        <v>620</v>
      </c>
      <c r="B311" s="12" t="s">
        <v>583</v>
      </c>
      <c r="C311" s="16"/>
      <c r="D311" s="9" t="s">
        <v>635</v>
      </c>
      <c r="E311" s="13">
        <v>0</v>
      </c>
      <c r="F311" s="13">
        <v>80</v>
      </c>
      <c r="G311" s="19">
        <f>[1]!Tabela2[[#This Row],[VOL.]]*[1]!Tabela2[[#This Row],[UNID.]]</f>
        <v>0</v>
      </c>
    </row>
    <row r="312" spans="1:7" x14ac:dyDescent="0.25">
      <c r="A312" s="9">
        <v>621</v>
      </c>
      <c r="B312" s="12" t="s">
        <v>572</v>
      </c>
      <c r="C312" s="16"/>
      <c r="D312" s="9" t="s">
        <v>635</v>
      </c>
      <c r="E312" s="13">
        <v>0</v>
      </c>
      <c r="F312" s="13">
        <v>70</v>
      </c>
      <c r="G312" s="19">
        <f>[1]!Tabela2[[#This Row],[VOL.]]*[1]!Tabela2[[#This Row],[UNID.]]</f>
        <v>0</v>
      </c>
    </row>
    <row r="313" spans="1:7" x14ac:dyDescent="0.25">
      <c r="A313" s="9">
        <v>622</v>
      </c>
      <c r="B313" s="12" t="s">
        <v>576</v>
      </c>
      <c r="C313" s="16"/>
      <c r="D313" s="9" t="s">
        <v>635</v>
      </c>
      <c r="E313" s="13">
        <v>0</v>
      </c>
      <c r="F313" s="13">
        <v>60</v>
      </c>
      <c r="G313" s="19">
        <f>[1]!Tabela2[[#This Row],[VOL.]]*[1]!Tabela2[[#This Row],[UNID.]]</f>
        <v>0</v>
      </c>
    </row>
    <row r="314" spans="1:7" x14ac:dyDescent="0.25">
      <c r="A314" s="9">
        <v>623</v>
      </c>
      <c r="B314" s="12" t="s">
        <v>580</v>
      </c>
      <c r="C314" s="16"/>
      <c r="D314" s="9" t="s">
        <v>635</v>
      </c>
      <c r="E314" s="13">
        <v>0</v>
      </c>
      <c r="F314" s="13">
        <v>35</v>
      </c>
      <c r="G314" s="19">
        <f>[1]!Tabela2[[#This Row],[VOL.]]*[1]!Tabela2[[#This Row],[UNID.]]</f>
        <v>0</v>
      </c>
    </row>
    <row r="315" spans="1:7" hidden="1" x14ac:dyDescent="0.25">
      <c r="A315" s="9">
        <v>730</v>
      </c>
      <c r="B315" s="13" t="s">
        <v>590</v>
      </c>
      <c r="C315" s="16"/>
      <c r="D315" s="9" t="s">
        <v>648</v>
      </c>
      <c r="E315" s="13">
        <v>1</v>
      </c>
      <c r="F315" s="13">
        <v>900</v>
      </c>
      <c r="G315" s="19">
        <f>[1]!Tabela2[[#This Row],[VOL.]]*[1]!Tabela2[[#This Row],[UNID.]]</f>
        <v>0</v>
      </c>
    </row>
    <row r="316" spans="1:7" hidden="1" x14ac:dyDescent="0.25">
      <c r="A316" s="9">
        <v>731</v>
      </c>
      <c r="B316" s="13" t="s">
        <v>591</v>
      </c>
      <c r="C316" s="16"/>
      <c r="D316" s="9" t="s">
        <v>636</v>
      </c>
      <c r="E316" s="13">
        <v>0</v>
      </c>
      <c r="F316" s="13">
        <v>1000</v>
      </c>
      <c r="G316" s="19">
        <f>[1]!Tabela2[[#This Row],[VOL.]]*[1]!Tabela2[[#This Row],[UNID.]]</f>
        <v>0</v>
      </c>
    </row>
    <row r="317" spans="1:7" x14ac:dyDescent="0.25">
      <c r="A317" s="9">
        <v>1797</v>
      </c>
      <c r="B317" s="13" t="s">
        <v>592</v>
      </c>
      <c r="C317" s="16"/>
      <c r="D317" s="9"/>
      <c r="E317" s="13"/>
      <c r="F317" s="13">
        <v>12</v>
      </c>
      <c r="G317" s="19">
        <f>[1]!Tabela2[[#This Row],[VOL.]]*[1]!Tabela2[[#This Row],[UNID.]]</f>
        <v>900</v>
      </c>
    </row>
    <row r="318" spans="1:7" hidden="1" x14ac:dyDescent="0.25">
      <c r="A318" s="9">
        <v>1209</v>
      </c>
      <c r="B318" s="13" t="s">
        <v>593</v>
      </c>
      <c r="C318" s="16"/>
      <c r="D318" s="9" t="s">
        <v>610</v>
      </c>
      <c r="E318" s="13">
        <v>13</v>
      </c>
      <c r="F318" s="13">
        <v>12</v>
      </c>
      <c r="G318" s="19">
        <f>[1]!Tabela2[[#This Row],[VOL.]]*[1]!Tabela2[[#This Row],[UNID.]]</f>
        <v>0</v>
      </c>
    </row>
    <row r="319" spans="1:7" hidden="1" x14ac:dyDescent="0.25">
      <c r="A319" s="9">
        <v>1588</v>
      </c>
      <c r="B319" s="13" t="s">
        <v>594</v>
      </c>
      <c r="C319" s="16"/>
      <c r="D319" s="9" t="s">
        <v>630</v>
      </c>
      <c r="E319" s="13">
        <v>30</v>
      </c>
      <c r="F319" s="13">
        <v>150</v>
      </c>
      <c r="G319" s="19">
        <f>[1]!Tabela2[[#This Row],[VOL.]]*[1]!Tabela2[[#This Row],[UNID.]]</f>
        <v>0</v>
      </c>
    </row>
    <row r="320" spans="1:7" x14ac:dyDescent="0.25">
      <c r="A320" s="9">
        <v>1639</v>
      </c>
      <c r="B320" s="13" t="s">
        <v>595</v>
      </c>
      <c r="C320" s="16"/>
      <c r="D320" s="9"/>
      <c r="E320" s="13"/>
      <c r="F320" s="13"/>
      <c r="G320" s="19">
        <f>[1]!Tabela2[[#This Row],[VOL.]]*[1]!Tabela2[[#This Row],[UNID.]]</f>
        <v>156</v>
      </c>
    </row>
    <row r="321" spans="1:7" hidden="1" x14ac:dyDescent="0.25">
      <c r="A321" s="9">
        <v>1640</v>
      </c>
      <c r="B321" s="13" t="s">
        <v>596</v>
      </c>
      <c r="C321" s="16"/>
      <c r="D321" s="9" t="s">
        <v>617</v>
      </c>
      <c r="E321" s="13">
        <v>0</v>
      </c>
      <c r="F321" s="13">
        <v>150</v>
      </c>
      <c r="G321" s="19">
        <f>[1]!Tabela2[[#This Row],[VOL.]]*[1]!Tabela2[[#This Row],[UNID.]]</f>
        <v>4500</v>
      </c>
    </row>
    <row r="322" spans="1:7" hidden="1" x14ac:dyDescent="0.25">
      <c r="A322" s="9">
        <v>1701</v>
      </c>
      <c r="B322" s="12" t="s">
        <v>464</v>
      </c>
      <c r="C322" s="16" t="s">
        <v>357</v>
      </c>
      <c r="D322" s="9" t="s">
        <v>617</v>
      </c>
      <c r="E322" s="13">
        <v>0</v>
      </c>
      <c r="F322" s="13">
        <v>32</v>
      </c>
      <c r="G322" s="19">
        <f>[1]!Tabela2[[#This Row],[VOL.]]*[1]!Tabela2[[#This Row],[UNID.]]</f>
        <v>0</v>
      </c>
    </row>
    <row r="323" spans="1:7" x14ac:dyDescent="0.25">
      <c r="A323" s="9">
        <v>1774</v>
      </c>
      <c r="B323" s="12" t="s">
        <v>462</v>
      </c>
      <c r="C323" s="16" t="s">
        <v>611</v>
      </c>
      <c r="D323" s="9" t="s">
        <v>617</v>
      </c>
      <c r="E323" s="13">
        <v>0</v>
      </c>
      <c r="F323" s="13">
        <v>40</v>
      </c>
      <c r="G323" s="19">
        <f>[1]!Tabela2[[#This Row],[VOL.]]*[1]!Tabela2[[#This Row],[UNID.]]</f>
        <v>0</v>
      </c>
    </row>
    <row r="324" spans="1:7" hidden="1" x14ac:dyDescent="0.25">
      <c r="A324" s="9">
        <v>1754</v>
      </c>
      <c r="B324" s="12" t="s">
        <v>462</v>
      </c>
      <c r="C324" s="16" t="s">
        <v>355</v>
      </c>
      <c r="D324" s="9" t="s">
        <v>617</v>
      </c>
      <c r="E324" s="13">
        <v>14</v>
      </c>
      <c r="F324" s="13">
        <v>40</v>
      </c>
      <c r="G324" s="19">
        <f>[1]!Tabela2[[#This Row],[VOL.]]*[1]!Tabela2[[#This Row],[UNID.]]</f>
        <v>0</v>
      </c>
    </row>
    <row r="325" spans="1:7" x14ac:dyDescent="0.25">
      <c r="A325" s="9">
        <v>1828</v>
      </c>
      <c r="B325" s="12" t="s">
        <v>597</v>
      </c>
      <c r="C325" s="16" t="s">
        <v>352</v>
      </c>
      <c r="D325" s="9" t="s">
        <v>610</v>
      </c>
      <c r="E325" s="13"/>
      <c r="F325" s="13">
        <v>1000</v>
      </c>
      <c r="G325" s="19">
        <f>[1]!Tabela2[[#This Row],[VOL.]]*[1]!Tabela2[[#This Row],[UNID.]]</f>
        <v>0</v>
      </c>
    </row>
    <row r="326" spans="1:7" x14ac:dyDescent="0.25">
      <c r="A326" s="9">
        <v>1699</v>
      </c>
      <c r="B326" s="12" t="s">
        <v>597</v>
      </c>
      <c r="C326" s="16" t="s">
        <v>608</v>
      </c>
      <c r="D326" s="9" t="s">
        <v>610</v>
      </c>
      <c r="E326" s="13"/>
      <c r="F326" s="13">
        <v>1000</v>
      </c>
      <c r="G326" s="19">
        <f>[1]!Tabela2[[#This Row],[VOL.]]*[1]!Tabela2[[#This Row],[UNID.]]</f>
        <v>560</v>
      </c>
    </row>
    <row r="327" spans="1:7" x14ac:dyDescent="0.25">
      <c r="A327" s="9">
        <v>1796</v>
      </c>
      <c r="B327" s="12" t="s">
        <v>597</v>
      </c>
      <c r="C327" s="16" t="s">
        <v>614</v>
      </c>
      <c r="D327" s="9" t="s">
        <v>610</v>
      </c>
      <c r="E327" s="13"/>
      <c r="F327" s="13">
        <v>1000</v>
      </c>
      <c r="G327" s="19">
        <f>[1]!Tabela2[[#This Row],[VOL.]]*[1]!Tabela2[[#This Row],[UNID.]]</f>
        <v>0</v>
      </c>
    </row>
    <row r="328" spans="1:7" hidden="1" x14ac:dyDescent="0.25">
      <c r="A328" s="9">
        <v>1773</v>
      </c>
      <c r="B328" s="12" t="s">
        <v>597</v>
      </c>
      <c r="C328" s="16" t="s">
        <v>355</v>
      </c>
      <c r="D328" s="9" t="s">
        <v>610</v>
      </c>
      <c r="E328" s="13">
        <v>0</v>
      </c>
      <c r="F328" s="13">
        <v>40</v>
      </c>
      <c r="G328" s="19">
        <f>[1]!Tabela2[[#This Row],[VOL.]]*[1]!Tabela2[[#This Row],[UNID.]]</f>
        <v>0</v>
      </c>
    </row>
    <row r="329" spans="1:7" x14ac:dyDescent="0.25">
      <c r="A329" s="9">
        <v>1818</v>
      </c>
      <c r="B329" s="12" t="s">
        <v>455</v>
      </c>
      <c r="C329" s="16" t="s">
        <v>350</v>
      </c>
      <c r="D329" s="9" t="s">
        <v>610</v>
      </c>
      <c r="E329" s="13">
        <v>0</v>
      </c>
      <c r="F329" s="13">
        <v>50</v>
      </c>
      <c r="G329" s="19">
        <f>[1]!Tabela2[[#This Row],[VOL.]]*[1]!Tabela2[[#This Row],[UNID.]]</f>
        <v>0</v>
      </c>
    </row>
    <row r="330" spans="1:7" hidden="1" x14ac:dyDescent="0.25">
      <c r="A330" s="9">
        <v>222</v>
      </c>
      <c r="B330" s="12" t="s">
        <v>598</v>
      </c>
      <c r="C330" s="16"/>
      <c r="D330" s="9"/>
      <c r="E330" s="13">
        <v>13</v>
      </c>
      <c r="F330" s="13">
        <v>12</v>
      </c>
      <c r="G330" s="19">
        <f>[1]!Tabela2[[#This Row],[VOL.]]*[1]!Tabela2[[#This Row],[UNID.]]</f>
        <v>0</v>
      </c>
    </row>
    <row r="331" spans="1:7" hidden="1" x14ac:dyDescent="0.25">
      <c r="A331" s="9">
        <v>223</v>
      </c>
      <c r="B331" s="12" t="s">
        <v>599</v>
      </c>
      <c r="C331" s="16"/>
      <c r="D331" s="9"/>
      <c r="E331" s="13">
        <v>5</v>
      </c>
      <c r="F331" s="13">
        <v>12</v>
      </c>
      <c r="G331" s="19">
        <f>[1]!Tabela2[[#This Row],[VOL.]]*[1]!Tabela2[[#This Row],[UNID.]]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2026-05-12T13:43:42Z</dcterms:modified>
</cp:coreProperties>
</file>